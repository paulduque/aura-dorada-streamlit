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F:\DISCO D\Paul\Documents\+Web Plus\Proyectos\Aura Dorada\aplicacion\data\"/>
    </mc:Choice>
  </mc:AlternateContent>
  <xr:revisionPtr revIDLastSave="0" documentId="13_ncr:1_{E4956A42-7FF4-4242-9F94-9983F1B1A4E0}" xr6:coauthVersionLast="47" xr6:coauthVersionMax="47" xr10:uidLastSave="{00000000-0000-0000-0000-000000000000}"/>
  <bookViews>
    <workbookView xWindow="-120" yWindow="-120" windowWidth="20640" windowHeight="11160" activeTab="1" xr2:uid="{00000000-000D-0000-FFFF-FFFF00000000}"/>
  </bookViews>
  <sheets>
    <sheet name="Sheet1" sheetId="1" r:id="rId1"/>
    <sheet name="CITAS" sheetId="2" r:id="rId2"/>
    <sheet name="CLIENTES" sheetId="3" r:id="rId3"/>
    <sheet name="PAGO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8" i="1" l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<sst xmlns="http://schemas.openxmlformats.org/spreadsheetml/2006/main" count="209" uniqueCount="69">
  <si>
    <t>FECHA</t>
  </si>
  <si>
    <t>NOMBRE</t>
  </si>
  <si>
    <t>TRATAMIENTO</t>
  </si>
  <si>
    <t>TIPO</t>
  </si>
  <si>
    <t>ES_PAQUETE</t>
  </si>
  <si>
    <t>ID_PAQUETE</t>
  </si>
  <si>
    <t>SESIONES</t>
  </si>
  <si>
    <t>ATENDIDO</t>
  </si>
  <si>
    <t>POR ATENDER</t>
  </si>
  <si>
    <t>VALOR</t>
  </si>
  <si>
    <t>ANTICIPO</t>
  </si>
  <si>
    <t>SALDO</t>
  </si>
  <si>
    <t>ESTADO</t>
  </si>
  <si>
    <t>OBSERVACIONES</t>
  </si>
  <si>
    <t>Luis</t>
  </si>
  <si>
    <t>Masaje y aparatologia</t>
  </si>
  <si>
    <t>CORPORAL</t>
  </si>
  <si>
    <t>NO</t>
  </si>
  <si>
    <t>TRA001</t>
  </si>
  <si>
    <t>Dayana Cerón</t>
  </si>
  <si>
    <t>TRA002</t>
  </si>
  <si>
    <t>HiFu</t>
  </si>
  <si>
    <t>TRA003</t>
  </si>
  <si>
    <t>Mesoterapia</t>
  </si>
  <si>
    <t>SI</t>
  </si>
  <si>
    <t>PKG000</t>
  </si>
  <si>
    <t>FACIAL</t>
  </si>
  <si>
    <t>Alexandra Hernández</t>
  </si>
  <si>
    <t>PKG001</t>
  </si>
  <si>
    <t>Despigmentante</t>
  </si>
  <si>
    <t>Hidrolipoclasia</t>
  </si>
  <si>
    <t>PKG002</t>
  </si>
  <si>
    <t>Aparatologias</t>
  </si>
  <si>
    <t>María Belén</t>
  </si>
  <si>
    <t>PKG003</t>
  </si>
  <si>
    <t>Brazos</t>
  </si>
  <si>
    <t>PKG004</t>
  </si>
  <si>
    <t>Ojeras</t>
  </si>
  <si>
    <t>PKG005</t>
  </si>
  <si>
    <t>Enzima recombinante</t>
  </si>
  <si>
    <t>Estimulador de colágeno</t>
  </si>
  <si>
    <t>pagos para 3 quincenas cada 15 días</t>
  </si>
  <si>
    <t>Leila Loor</t>
  </si>
  <si>
    <t>PKG006</t>
  </si>
  <si>
    <t>Caja de quemadores</t>
  </si>
  <si>
    <t>PRODUCTO</t>
  </si>
  <si>
    <t>Geovanna Morales</t>
  </si>
  <si>
    <t>Plasma despigmentante</t>
  </si>
  <si>
    <t>TRA004</t>
  </si>
  <si>
    <t>Paquete de manchas faciales. Ibarra</t>
  </si>
  <si>
    <t>PKG007</t>
  </si>
  <si>
    <t>Paquete corporal, inicia el 12 de enero</t>
  </si>
  <si>
    <t>2 sesiones obsequio aparatología</t>
  </si>
  <si>
    <t>Vacunas oligoelementos</t>
  </si>
  <si>
    <t>Drenaje linfático</t>
  </si>
  <si>
    <t>Limpieza facial piel madura de obsequio</t>
  </si>
  <si>
    <t>ID</t>
  </si>
  <si>
    <t>HORA</t>
  </si>
  <si>
    <t>CLIENTE</t>
  </si>
  <si>
    <t>TELEFONO</t>
  </si>
  <si>
    <t>EMAIL</t>
  </si>
  <si>
    <t>099 999 9999</t>
  </si>
  <si>
    <t>luis@email.com</t>
  </si>
  <si>
    <t>MONTO</t>
  </si>
  <si>
    <t>APARATOLOGIA</t>
  </si>
  <si>
    <t>AGENDADA</t>
  </si>
  <si>
    <t>MASAJE Y APARATOLOGIA</t>
  </si>
  <si>
    <t>BIODESPIGMENTANTE</t>
  </si>
  <si>
    <t>GINA RUALES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</si>
</sst>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164" fontId="0" fillId="0" borderId="0" xfId="0" applyNumberFormat="1"/>
    <xf numFmtId="0" fontId="4" fillId="0" borderId="4" xfId="0" applyFont="1" applyBorder="1" applyAlignment="1">
      <alignment horizontal="center" vertical="top"/>
    </xf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"/>
  <sheetViews>
    <sheetView topLeftCell="A7" workbookViewId="0">
      <selection activeCell="L19" sqref="L19"/>
    </sheetView>
  </sheetViews>
  <sheetFormatPr baseColWidth="10" defaultColWidth="9.140625" defaultRowHeight="15" x14ac:dyDescent="0.25"/>
  <cols>
    <col min="2" max="2" width="20.140625" bestFit="1" customWidth="1"/>
    <col min="3" max="3" width="23" bestFit="1" customWidth="1"/>
    <col min="4" max="4" width="10.85546875" bestFit="1" customWidth="1"/>
    <col min="5" max="5" width="12.28515625" bestFit="1" customWidth="1"/>
    <col min="6" max="6" width="12.140625" bestFit="1" customWidth="1"/>
    <col min="7" max="7" width="9.42578125" bestFit="1" customWidth="1"/>
    <col min="8" max="8" width="10.28515625" bestFit="1" customWidth="1"/>
    <col min="9" max="9" width="13.28515625" bestFit="1" customWidth="1"/>
    <col min="10" max="10" width="10" customWidth="1"/>
    <col min="13" max="13" width="9.28515625" bestFit="1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B2" t="s">
        <v>14</v>
      </c>
      <c r="C2" t="s">
        <v>15</v>
      </c>
      <c r="D2" t="s">
        <v>16</v>
      </c>
      <c r="E2" t="s">
        <v>17</v>
      </c>
      <c r="F2" t="s">
        <v>18</v>
      </c>
      <c r="G2">
        <v>10</v>
      </c>
      <c r="H2">
        <v>1</v>
      </c>
      <c r="I2">
        <v>9</v>
      </c>
      <c r="J2">
        <v>70</v>
      </c>
      <c r="K2">
        <v>70</v>
      </c>
      <c r="M2" t="str">
        <f t="shared" ref="M2:M28" si="0">IF(F2=F3,"Incluido",(IF(L2=0,"Pagado","Por pagar")))</f>
        <v>Pagado</v>
      </c>
    </row>
    <row r="3" spans="1:14" x14ac:dyDescent="0.25">
      <c r="B3" t="s">
        <v>19</v>
      </c>
      <c r="C3" t="s">
        <v>15</v>
      </c>
      <c r="D3" t="s">
        <v>16</v>
      </c>
      <c r="E3" t="s">
        <v>17</v>
      </c>
      <c r="F3" t="s">
        <v>20</v>
      </c>
      <c r="G3">
        <v>10</v>
      </c>
      <c r="H3">
        <v>3</v>
      </c>
      <c r="I3">
        <v>7</v>
      </c>
      <c r="J3">
        <v>70</v>
      </c>
      <c r="K3">
        <v>70</v>
      </c>
      <c r="M3" t="str">
        <f t="shared" si="0"/>
        <v>Pagado</v>
      </c>
    </row>
    <row r="4" spans="1:14" x14ac:dyDescent="0.25">
      <c r="B4" t="s">
        <v>19</v>
      </c>
      <c r="C4" t="s">
        <v>21</v>
      </c>
      <c r="D4" t="s">
        <v>16</v>
      </c>
      <c r="E4" t="s">
        <v>17</v>
      </c>
      <c r="F4" t="s">
        <v>22</v>
      </c>
      <c r="G4">
        <v>3</v>
      </c>
      <c r="H4">
        <v>2</v>
      </c>
      <c r="I4">
        <v>1</v>
      </c>
      <c r="J4">
        <v>110</v>
      </c>
      <c r="K4">
        <v>110</v>
      </c>
      <c r="M4" t="str">
        <f t="shared" si="0"/>
        <v>Pagado</v>
      </c>
    </row>
    <row r="5" spans="1:14" x14ac:dyDescent="0.25">
      <c r="B5" t="s">
        <v>19</v>
      </c>
      <c r="C5" t="s">
        <v>23</v>
      </c>
      <c r="D5" t="s">
        <v>16</v>
      </c>
      <c r="E5" t="s">
        <v>24</v>
      </c>
      <c r="F5" t="s">
        <v>25</v>
      </c>
      <c r="G5">
        <v>1</v>
      </c>
      <c r="H5">
        <v>1</v>
      </c>
      <c r="I5">
        <v>0</v>
      </c>
      <c r="J5">
        <v>0</v>
      </c>
      <c r="K5">
        <v>0</v>
      </c>
      <c r="M5" t="str">
        <f t="shared" si="0"/>
        <v>Incluido</v>
      </c>
    </row>
    <row r="6" spans="1:14" x14ac:dyDescent="0.25">
      <c r="B6" t="s">
        <v>19</v>
      </c>
      <c r="C6" t="s">
        <v>21</v>
      </c>
      <c r="D6" t="s">
        <v>26</v>
      </c>
      <c r="E6" t="s">
        <v>24</v>
      </c>
      <c r="F6" t="s">
        <v>25</v>
      </c>
      <c r="G6">
        <v>2</v>
      </c>
      <c r="H6">
        <v>2</v>
      </c>
      <c r="I6">
        <v>0</v>
      </c>
      <c r="J6">
        <v>61</v>
      </c>
      <c r="K6">
        <v>0</v>
      </c>
      <c r="M6" t="str">
        <f t="shared" si="0"/>
        <v>Pagado</v>
      </c>
    </row>
    <row r="7" spans="1:14" x14ac:dyDescent="0.25">
      <c r="B7" t="s">
        <v>27</v>
      </c>
      <c r="C7" t="s">
        <v>21</v>
      </c>
      <c r="D7" t="s">
        <v>26</v>
      </c>
      <c r="E7" t="s">
        <v>24</v>
      </c>
      <c r="F7" t="s">
        <v>28</v>
      </c>
      <c r="G7">
        <v>1</v>
      </c>
      <c r="H7">
        <v>1</v>
      </c>
      <c r="I7">
        <v>0</v>
      </c>
      <c r="J7">
        <v>0</v>
      </c>
      <c r="K7">
        <v>0</v>
      </c>
      <c r="M7" t="str">
        <f t="shared" si="0"/>
        <v>Incluido</v>
      </c>
    </row>
    <row r="8" spans="1:14" x14ac:dyDescent="0.25">
      <c r="B8" t="s">
        <v>27</v>
      </c>
      <c r="C8" t="s">
        <v>29</v>
      </c>
      <c r="D8" t="s">
        <v>26</v>
      </c>
      <c r="E8" t="s">
        <v>24</v>
      </c>
      <c r="F8" t="s">
        <v>28</v>
      </c>
      <c r="G8">
        <v>4</v>
      </c>
      <c r="H8">
        <v>0</v>
      </c>
      <c r="I8">
        <v>4</v>
      </c>
      <c r="J8">
        <v>115</v>
      </c>
      <c r="K8">
        <v>50</v>
      </c>
      <c r="M8" t="str">
        <f t="shared" si="0"/>
        <v>Pagado</v>
      </c>
    </row>
    <row r="9" spans="1:14" x14ac:dyDescent="0.25">
      <c r="B9" t="s">
        <v>27</v>
      </c>
      <c r="C9" t="s">
        <v>30</v>
      </c>
      <c r="D9" t="s">
        <v>16</v>
      </c>
      <c r="E9" t="s">
        <v>24</v>
      </c>
      <c r="F9" t="s">
        <v>31</v>
      </c>
      <c r="G9">
        <v>3</v>
      </c>
      <c r="H9">
        <v>1</v>
      </c>
      <c r="I9">
        <v>2</v>
      </c>
      <c r="J9">
        <v>0</v>
      </c>
      <c r="K9">
        <v>0</v>
      </c>
      <c r="M9" t="str">
        <f t="shared" si="0"/>
        <v>Incluido</v>
      </c>
    </row>
    <row r="10" spans="1:14" x14ac:dyDescent="0.25">
      <c r="B10" t="s">
        <v>27</v>
      </c>
      <c r="C10" t="s">
        <v>32</v>
      </c>
      <c r="D10" t="s">
        <v>16</v>
      </c>
      <c r="E10" t="s">
        <v>24</v>
      </c>
      <c r="F10" t="s">
        <v>31</v>
      </c>
      <c r="G10">
        <v>3</v>
      </c>
      <c r="H10">
        <v>0</v>
      </c>
      <c r="I10">
        <v>3</v>
      </c>
      <c r="J10">
        <v>150</v>
      </c>
      <c r="K10">
        <v>50</v>
      </c>
      <c r="M10" t="str">
        <f t="shared" si="0"/>
        <v>Pagado</v>
      </c>
    </row>
    <row r="11" spans="1:14" x14ac:dyDescent="0.25">
      <c r="B11" t="s">
        <v>33</v>
      </c>
      <c r="C11" t="s">
        <v>23</v>
      </c>
      <c r="D11" t="s">
        <v>16</v>
      </c>
      <c r="E11" t="s">
        <v>24</v>
      </c>
      <c r="F11" t="s">
        <v>34</v>
      </c>
      <c r="G11">
        <v>5</v>
      </c>
      <c r="H11">
        <v>1</v>
      </c>
      <c r="I11">
        <v>4</v>
      </c>
      <c r="J11">
        <v>0</v>
      </c>
      <c r="K11">
        <v>0</v>
      </c>
      <c r="M11" t="str">
        <f t="shared" si="0"/>
        <v>Incluido</v>
      </c>
      <c r="N11" t="s">
        <v>35</v>
      </c>
    </row>
    <row r="12" spans="1:14" x14ac:dyDescent="0.25">
      <c r="B12" t="s">
        <v>33</v>
      </c>
      <c r="C12" t="s">
        <v>15</v>
      </c>
      <c r="D12" t="s">
        <v>16</v>
      </c>
      <c r="E12" t="s">
        <v>24</v>
      </c>
      <c r="F12" t="s">
        <v>34</v>
      </c>
      <c r="G12">
        <v>5</v>
      </c>
      <c r="H12">
        <v>1</v>
      </c>
      <c r="I12">
        <v>4</v>
      </c>
      <c r="J12">
        <v>99</v>
      </c>
      <c r="K12">
        <v>0</v>
      </c>
      <c r="M12" t="str">
        <f t="shared" si="0"/>
        <v>Pagado</v>
      </c>
    </row>
    <row r="13" spans="1:14" x14ac:dyDescent="0.25">
      <c r="B13" t="s">
        <v>33</v>
      </c>
      <c r="C13" t="s">
        <v>23</v>
      </c>
      <c r="D13" t="s">
        <v>26</v>
      </c>
      <c r="E13" t="s">
        <v>24</v>
      </c>
      <c r="F13" t="s">
        <v>36</v>
      </c>
      <c r="G13">
        <v>5</v>
      </c>
      <c r="H13">
        <v>0</v>
      </c>
      <c r="I13">
        <v>5</v>
      </c>
      <c r="J13">
        <v>0</v>
      </c>
      <c r="K13">
        <v>0</v>
      </c>
      <c r="M13" t="str">
        <f t="shared" si="0"/>
        <v>Incluido</v>
      </c>
      <c r="N13" t="s">
        <v>37</v>
      </c>
    </row>
    <row r="14" spans="1:14" x14ac:dyDescent="0.25">
      <c r="B14" t="s">
        <v>33</v>
      </c>
      <c r="C14" t="s">
        <v>32</v>
      </c>
      <c r="D14" t="s">
        <v>26</v>
      </c>
      <c r="E14" t="s">
        <v>24</v>
      </c>
      <c r="F14" t="s">
        <v>36</v>
      </c>
      <c r="G14">
        <v>5</v>
      </c>
      <c r="H14">
        <v>0</v>
      </c>
      <c r="I14">
        <v>5</v>
      </c>
      <c r="J14">
        <v>125</v>
      </c>
      <c r="K14">
        <v>0</v>
      </c>
      <c r="M14" t="str">
        <f t="shared" si="0"/>
        <v>Pagado</v>
      </c>
    </row>
    <row r="15" spans="1:14" x14ac:dyDescent="0.25">
      <c r="B15" t="s">
        <v>33</v>
      </c>
      <c r="C15" t="s">
        <v>21</v>
      </c>
      <c r="D15" t="s">
        <v>26</v>
      </c>
      <c r="E15" t="s">
        <v>24</v>
      </c>
      <c r="F15" t="s">
        <v>38</v>
      </c>
      <c r="G15">
        <v>7</v>
      </c>
      <c r="H15">
        <v>0</v>
      </c>
      <c r="I15">
        <v>7</v>
      </c>
      <c r="J15">
        <v>0</v>
      </c>
      <c r="K15">
        <v>0</v>
      </c>
      <c r="M15" t="str">
        <f t="shared" si="0"/>
        <v>Incluido</v>
      </c>
    </row>
    <row r="16" spans="1:14" x14ac:dyDescent="0.25">
      <c r="B16" t="s">
        <v>33</v>
      </c>
      <c r="C16" t="s">
        <v>39</v>
      </c>
      <c r="D16" t="s">
        <v>26</v>
      </c>
      <c r="E16" t="s">
        <v>24</v>
      </c>
      <c r="F16" t="s">
        <v>38</v>
      </c>
      <c r="G16">
        <v>1</v>
      </c>
      <c r="H16">
        <v>1</v>
      </c>
      <c r="I16">
        <v>0</v>
      </c>
      <c r="J16">
        <v>0</v>
      </c>
      <c r="K16">
        <v>0</v>
      </c>
      <c r="M16" t="str">
        <f t="shared" si="0"/>
        <v>Incluido</v>
      </c>
    </row>
    <row r="17" spans="2:14" x14ac:dyDescent="0.25">
      <c r="B17" t="s">
        <v>33</v>
      </c>
      <c r="C17" t="s">
        <v>40</v>
      </c>
      <c r="D17" t="s">
        <v>26</v>
      </c>
      <c r="E17" t="s">
        <v>24</v>
      </c>
      <c r="F17" t="s">
        <v>38</v>
      </c>
      <c r="G17">
        <v>3</v>
      </c>
      <c r="H17">
        <v>0</v>
      </c>
      <c r="I17">
        <v>3</v>
      </c>
      <c r="J17">
        <v>0</v>
      </c>
      <c r="K17">
        <v>0</v>
      </c>
      <c r="M17" t="str">
        <f t="shared" si="0"/>
        <v>Incluido</v>
      </c>
    </row>
    <row r="18" spans="2:14" x14ac:dyDescent="0.25">
      <c r="B18" t="s">
        <v>33</v>
      </c>
      <c r="C18" t="s">
        <v>32</v>
      </c>
      <c r="D18" t="s">
        <v>26</v>
      </c>
      <c r="E18" t="s">
        <v>24</v>
      </c>
      <c r="F18" t="s">
        <v>38</v>
      </c>
      <c r="G18">
        <v>3</v>
      </c>
      <c r="H18">
        <v>0</v>
      </c>
      <c r="I18">
        <v>3</v>
      </c>
      <c r="J18">
        <v>160</v>
      </c>
      <c r="K18">
        <v>160</v>
      </c>
      <c r="M18" t="str">
        <f t="shared" si="0"/>
        <v>Pagado</v>
      </c>
      <c r="N18" t="s">
        <v>41</v>
      </c>
    </row>
    <row r="19" spans="2:14" x14ac:dyDescent="0.25">
      <c r="B19" t="s">
        <v>42</v>
      </c>
      <c r="C19" t="s">
        <v>21</v>
      </c>
      <c r="D19" t="s">
        <v>26</v>
      </c>
      <c r="E19" t="s">
        <v>24</v>
      </c>
      <c r="F19" t="s">
        <v>43</v>
      </c>
      <c r="G19">
        <v>1</v>
      </c>
      <c r="H19">
        <v>1</v>
      </c>
      <c r="I19">
        <v>0</v>
      </c>
      <c r="J19">
        <v>0</v>
      </c>
      <c r="K19">
        <v>0</v>
      </c>
      <c r="M19" t="str">
        <f t="shared" si="0"/>
        <v>Incluido</v>
      </c>
    </row>
    <row r="20" spans="2:14" x14ac:dyDescent="0.25">
      <c r="B20" t="s">
        <v>42</v>
      </c>
      <c r="C20" t="s">
        <v>21</v>
      </c>
      <c r="D20" t="s">
        <v>16</v>
      </c>
      <c r="E20" t="s">
        <v>24</v>
      </c>
      <c r="F20" t="s">
        <v>43</v>
      </c>
      <c r="G20">
        <v>1</v>
      </c>
      <c r="H20">
        <v>0</v>
      </c>
      <c r="I20">
        <v>1</v>
      </c>
      <c r="J20">
        <v>0</v>
      </c>
      <c r="K20">
        <v>0</v>
      </c>
      <c r="M20" t="str">
        <f t="shared" si="0"/>
        <v>Incluido</v>
      </c>
    </row>
    <row r="21" spans="2:14" x14ac:dyDescent="0.25">
      <c r="B21" t="s">
        <v>42</v>
      </c>
      <c r="C21" t="s">
        <v>44</v>
      </c>
      <c r="D21" t="s">
        <v>45</v>
      </c>
      <c r="E21" t="s">
        <v>24</v>
      </c>
      <c r="F21" t="s">
        <v>43</v>
      </c>
      <c r="G21">
        <v>1</v>
      </c>
      <c r="H21">
        <v>1</v>
      </c>
      <c r="I21">
        <v>0</v>
      </c>
      <c r="J21">
        <v>200</v>
      </c>
      <c r="K21">
        <v>200</v>
      </c>
      <c r="M21" t="str">
        <f t="shared" si="0"/>
        <v>Pagado</v>
      </c>
    </row>
    <row r="22" spans="2:14" x14ac:dyDescent="0.25">
      <c r="B22" t="s">
        <v>46</v>
      </c>
      <c r="C22" t="s">
        <v>47</v>
      </c>
      <c r="D22" t="s">
        <v>26</v>
      </c>
      <c r="E22" t="s">
        <v>17</v>
      </c>
      <c r="F22" t="s">
        <v>48</v>
      </c>
      <c r="G22">
        <v>7</v>
      </c>
      <c r="H22">
        <v>1</v>
      </c>
      <c r="I22">
        <v>6</v>
      </c>
      <c r="J22">
        <v>140</v>
      </c>
      <c r="K22">
        <v>70</v>
      </c>
      <c r="M22" t="str">
        <f t="shared" si="0"/>
        <v>Pagado</v>
      </c>
      <c r="N22" t="s">
        <v>49</v>
      </c>
    </row>
    <row r="23" spans="2:14" x14ac:dyDescent="0.25">
      <c r="B23" t="s">
        <v>46</v>
      </c>
      <c r="C23" t="s">
        <v>30</v>
      </c>
      <c r="D23" t="s">
        <v>16</v>
      </c>
      <c r="E23" t="s">
        <v>24</v>
      </c>
      <c r="F23" t="s">
        <v>50</v>
      </c>
      <c r="G23">
        <v>3</v>
      </c>
      <c r="H23">
        <v>0</v>
      </c>
      <c r="I23">
        <v>3</v>
      </c>
      <c r="J23">
        <v>0</v>
      </c>
      <c r="K23">
        <v>0</v>
      </c>
      <c r="M23" t="str">
        <f t="shared" si="0"/>
        <v>Incluido</v>
      </c>
      <c r="N23" t="s">
        <v>51</v>
      </c>
    </row>
    <row r="24" spans="2:14" x14ac:dyDescent="0.25">
      <c r="B24" t="s">
        <v>46</v>
      </c>
      <c r="C24" t="s">
        <v>32</v>
      </c>
      <c r="D24" t="s">
        <v>16</v>
      </c>
      <c r="E24" t="s">
        <v>24</v>
      </c>
      <c r="F24" t="s">
        <v>50</v>
      </c>
      <c r="G24">
        <v>5</v>
      </c>
      <c r="H24">
        <v>0</v>
      </c>
      <c r="I24">
        <v>5</v>
      </c>
      <c r="J24">
        <v>0</v>
      </c>
      <c r="K24">
        <v>0</v>
      </c>
      <c r="M24" t="str">
        <f t="shared" si="0"/>
        <v>Incluido</v>
      </c>
      <c r="N24" t="s">
        <v>52</v>
      </c>
    </row>
    <row r="25" spans="2:14" x14ac:dyDescent="0.25">
      <c r="B25" t="s">
        <v>46</v>
      </c>
      <c r="C25" t="s">
        <v>53</v>
      </c>
      <c r="D25" t="s">
        <v>16</v>
      </c>
      <c r="E25" t="s">
        <v>24</v>
      </c>
      <c r="F25" t="s">
        <v>50</v>
      </c>
      <c r="G25">
        <v>5</v>
      </c>
      <c r="H25">
        <v>0</v>
      </c>
      <c r="I25">
        <v>5</v>
      </c>
      <c r="J25">
        <v>0</v>
      </c>
      <c r="K25">
        <v>0</v>
      </c>
      <c r="M25" t="str">
        <f t="shared" si="0"/>
        <v>Incluido</v>
      </c>
    </row>
    <row r="26" spans="2:14" x14ac:dyDescent="0.25">
      <c r="B26" t="s">
        <v>46</v>
      </c>
      <c r="C26" t="s">
        <v>21</v>
      </c>
      <c r="D26" t="s">
        <v>16</v>
      </c>
      <c r="E26" t="s">
        <v>24</v>
      </c>
      <c r="F26" t="s">
        <v>50</v>
      </c>
      <c r="G26">
        <v>1</v>
      </c>
      <c r="H26">
        <v>0</v>
      </c>
      <c r="I26">
        <v>1</v>
      </c>
      <c r="J26">
        <v>0</v>
      </c>
      <c r="K26">
        <v>0</v>
      </c>
      <c r="M26" t="str">
        <f t="shared" si="0"/>
        <v>Incluido</v>
      </c>
    </row>
    <row r="27" spans="2:14" x14ac:dyDescent="0.25">
      <c r="B27" t="s">
        <v>46</v>
      </c>
      <c r="C27" t="s">
        <v>54</v>
      </c>
      <c r="D27" t="s">
        <v>16</v>
      </c>
      <c r="E27" t="s">
        <v>24</v>
      </c>
      <c r="F27" t="s">
        <v>50</v>
      </c>
      <c r="G27">
        <v>1</v>
      </c>
      <c r="H27">
        <v>0</v>
      </c>
      <c r="I27">
        <v>1</v>
      </c>
      <c r="J27">
        <v>295</v>
      </c>
      <c r="K27">
        <v>0</v>
      </c>
      <c r="M27" t="str">
        <f t="shared" si="0"/>
        <v>Incluido</v>
      </c>
    </row>
    <row r="28" spans="2:14" x14ac:dyDescent="0.25">
      <c r="B28" t="s">
        <v>46</v>
      </c>
      <c r="C28" t="s">
        <v>21</v>
      </c>
      <c r="D28" t="s">
        <v>26</v>
      </c>
      <c r="E28" t="s">
        <v>24</v>
      </c>
      <c r="F28" t="s">
        <v>50</v>
      </c>
      <c r="G28">
        <v>1</v>
      </c>
      <c r="H28">
        <v>0</v>
      </c>
      <c r="I28">
        <v>30</v>
      </c>
      <c r="J28">
        <v>30</v>
      </c>
      <c r="K28">
        <v>0</v>
      </c>
      <c r="M28" t="str">
        <f t="shared" si="0"/>
        <v>Pagado</v>
      </c>
      <c r="N28" t="s">
        <v>55</v>
      </c>
    </row>
  </sheetData>
  <pageMargins left="0.75" right="0.75" top="1" bottom="1" header="0.5" footer="0.5"/>
  <pageSetup paperSize="9" orientation="portrait" horizontalDpi="360" verticalDpi="3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tabSelected="1" workbookViewId="0">
      <selection activeCell="C13" sqref="C13"/>
    </sheetView>
  </sheetViews>
  <sheetFormatPr baseColWidth="10" defaultColWidth="9.140625" defaultRowHeight="15" x14ac:dyDescent="0.25"/>
  <cols>
    <col min="2" max="2" width="10.42578125" bestFit="1" customWidth="1"/>
    <col min="4" max="4" width="12.42578125" bestFit="1" customWidth="1"/>
    <col min="5" max="5" width="14.28515625" bestFit="1" customWidth="1"/>
  </cols>
  <sheetData>
    <row r="1" spans="1:6" x14ac:dyDescent="0.25">
      <c r="A1" s="3" t="s">
        <v>56</v>
      </c>
      <c r="B1" s="3" t="s">
        <v>0</v>
      </c>
      <c r="C1" s="3" t="s">
        <v>57</v>
      </c>
      <c r="D1" s="3" t="s">
        <v>58</v>
      </c>
      <c r="E1" s="3" t="s">
        <v>2</v>
      </c>
      <c r="F1" s="3" t="s">
        <v>12</v>
      </c>
    </row>
    <row r="2" spans="1:6" x14ac:dyDescent="0.25">
      <c r="A2">
        <v>1</v>
      </c>
      <c r="B2" s="4">
        <v>46036</v>
      </c>
      <c r="C2" s="6">
        <v>0.76388888888888884</v>
      </c>
      <c r="D2" t="s">
        <v>14</v>
      </c>
      <c r="E2" t="s">
        <v>64</v>
      </c>
      <c r="F2" t="s">
        <v>65</v>
      </c>
    </row>
    <row r="3" spans="1:6" x14ac:dyDescent="0.25">
      <c r="A3">
        <v>2</v>
      </c>
      <c r="B3" s="4">
        <v>46036</v>
      </c>
      <c r="C3" s="6">
        <v>0.70833333333333337</v>
      </c>
      <c r="D3" t="s">
        <v>14</v>
      </c>
      <c r="E3" t="s">
        <v>64</v>
      </c>
      <c r="F3" t="s">
        <v>65</v>
      </c>
    </row>
    <row r="4" spans="1:6" x14ac:dyDescent="0.25">
      <c r="A4">
        <v>3</v>
      </c>
      <c r="B4" s="4">
        <v>46036</v>
      </c>
      <c r="C4" s="6">
        <v>0.70833333333333337</v>
      </c>
      <c r="D4" t="s">
        <v>14</v>
      </c>
      <c r="E4" t="s">
        <v>64</v>
      </c>
      <c r="F4" t="s">
        <v>65</v>
      </c>
    </row>
    <row r="5" spans="1:6" x14ac:dyDescent="0.25">
      <c r="A5">
        <v>4</v>
      </c>
      <c r="B5" s="4">
        <v>46034</v>
      </c>
      <c r="C5" s="6">
        <v>0.625</v>
      </c>
      <c r="D5" t="s">
        <v>27</v>
      </c>
      <c r="E5" t="s">
        <v>64</v>
      </c>
      <c r="F5" t="s">
        <v>65</v>
      </c>
    </row>
    <row r="6" spans="1:6" x14ac:dyDescent="0.25">
      <c r="A6">
        <v>5</v>
      </c>
      <c r="B6" s="4">
        <v>46034</v>
      </c>
      <c r="C6" s="6">
        <v>0.625</v>
      </c>
      <c r="D6" t="s">
        <v>27</v>
      </c>
      <c r="E6" t="s">
        <v>67</v>
      </c>
      <c r="F6" t="s">
        <v>65</v>
      </c>
    </row>
    <row r="7" spans="1:6" x14ac:dyDescent="0.25">
      <c r="A7">
        <v>6</v>
      </c>
      <c r="B7" s="4">
        <v>46028</v>
      </c>
      <c r="C7" s="6">
        <v>0.66666666666666663</v>
      </c>
      <c r="D7" t="s">
        <v>27</v>
      </c>
      <c r="E7" t="s">
        <v>67</v>
      </c>
      <c r="F7" t="s">
        <v>65</v>
      </c>
    </row>
    <row r="8" spans="1:6" x14ac:dyDescent="0.25">
      <c r="A8">
        <v>7</v>
      </c>
      <c r="B8" s="4">
        <v>46036</v>
      </c>
      <c r="C8" s="6">
        <v>0.69791666666666663</v>
      </c>
      <c r="D8" t="s">
        <v>19</v>
      </c>
      <c r="E8" t="s">
        <v>66</v>
      </c>
      <c r="F8" t="s">
        <v>65</v>
      </c>
    </row>
    <row r="9" spans="1:6" x14ac:dyDescent="0.25">
      <c r="A9">
        <v>8</v>
      </c>
      <c r="B9" s="4">
        <v>46031</v>
      </c>
      <c r="C9" s="6">
        <v>0.70833333333333337</v>
      </c>
      <c r="D9" t="s">
        <v>68</v>
      </c>
      <c r="E9" t="s">
        <v>66</v>
      </c>
      <c r="F9" t="s">
        <v>65</v>
      </c>
    </row>
    <row r="10" spans="1:6" x14ac:dyDescent="0.25">
      <c r="A10">
        <v>9</v>
      </c>
      <c r="B10" s="4">
        <v>46031</v>
      </c>
      <c r="C10" s="6">
        <v>0.70833333333333337</v>
      </c>
      <c r="D10" t="s">
        <v>68</v>
      </c>
      <c r="E10" t="s">
        <v>66</v>
      </c>
      <c r="F10" t="s">
        <v>65</v>
      </c>
    </row>
    <row r="11" spans="1:6" x14ac:dyDescent="0.25">
      <c r="A11">
        <v>10</v>
      </c>
      <c r="B11" s="4">
        <v>46031</v>
      </c>
      <c r="C11" s="6">
        <v>0.70833333333333337</v>
      </c>
      <c r="D11" t="s">
        <v>68</v>
      </c>
      <c r="E11" t="s">
        <v>66</v>
      </c>
      <c r="F11" t="s">
        <v>65</v>
      </c>
    </row>
  </sheetData>
  <sortState xmlns:xlrd2="http://schemas.microsoft.com/office/spreadsheetml/2017/richdata2" ref="A2:F11">
    <sortCondition ref="A2:A11"/>
  </sortState>
  <pageMargins left="0.75" right="0.75" top="1" bottom="1" header="0.5" footer="0.5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workbookViewId="0"/>
  </sheetViews>
  <sheetFormatPr baseColWidth="10" defaultColWidth="9.140625" defaultRowHeight="15" x14ac:dyDescent="0.25"/>
  <sheetData>
    <row r="1" spans="1:4" x14ac:dyDescent="0.25">
      <c r="A1" s="5" t="s">
        <v>56</v>
      </c>
      <c r="B1" s="5" t="s">
        <v>1</v>
      </c>
      <c r="C1" s="5" t="s">
        <v>59</v>
      </c>
      <c r="D1" s="5" t="s">
        <v>60</v>
      </c>
    </row>
    <row r="2" spans="1:4" x14ac:dyDescent="0.25">
      <c r="A2">
        <v>1</v>
      </c>
      <c r="B2" t="s">
        <v>14</v>
      </c>
      <c r="C2" t="s">
        <v>61</v>
      </c>
      <c r="D2" t="s">
        <v>62</v>
      </c>
    </row>
    <row r="3" spans="1:4" x14ac:dyDescent="0.25">
      <c r="A3">
        <v>2</v>
      </c>
      <c r="B3" t="s">
        <v>19</v>
      </c>
    </row>
    <row r="4" spans="1:4" x14ac:dyDescent="0.25">
      <c r="A4">
        <v>3</v>
      </c>
      <c r="B4" t="s">
        <v>27</v>
      </c>
    </row>
    <row r="5" spans="1:4" x14ac:dyDescent="0.25">
      <c r="A5">
        <v>4</v>
      </c>
      <c r="B5" t="s">
        <v>33</v>
      </c>
    </row>
    <row r="6" spans="1:4" x14ac:dyDescent="0.25">
      <c r="A6">
        <v>5</v>
      </c>
      <c r="B6" t="s">
        <v>42</v>
      </c>
    </row>
    <row r="7" spans="1:4" x14ac:dyDescent="0.25">
      <c r="A7">
        <v>6</v>
      </c>
      <c r="B7" t="s">
        <v>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"/>
  <sheetViews>
    <sheetView workbookViewId="0">
      <selection sqref="A1:XFD1048576"/>
    </sheetView>
  </sheetViews>
  <sheetFormatPr baseColWidth="10" defaultColWidth="9.140625" defaultRowHeight="15" x14ac:dyDescent="0.25"/>
  <cols>
    <col min="1" max="1" width="2.85546875" bestFit="1" customWidth="1"/>
    <col min="2" max="2" width="6.7109375" bestFit="1" customWidth="1"/>
    <col min="3" max="3" width="8" bestFit="1" customWidth="1"/>
    <col min="4" max="4" width="14" bestFit="1" customWidth="1"/>
    <col min="5" max="5" width="8.140625" bestFit="1" customWidth="1"/>
  </cols>
  <sheetData>
    <row r="1" spans="1:5" x14ac:dyDescent="0.25">
      <c r="A1" s="2" t="s">
        <v>56</v>
      </c>
      <c r="B1" s="2" t="s">
        <v>0</v>
      </c>
      <c r="C1" s="2" t="s">
        <v>58</v>
      </c>
      <c r="D1" s="2" t="s">
        <v>2</v>
      </c>
      <c r="E1" s="2" t="s">
        <v>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CITAS</vt:lpstr>
      <vt:lpstr>CLIENTES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 Duque</cp:lastModifiedBy>
  <dcterms:created xsi:type="dcterms:W3CDTF">2026-01-13T23:55:00Z</dcterms:created>
  <dcterms:modified xsi:type="dcterms:W3CDTF">2026-01-19T22:03:33Z</dcterms:modified>
</cp:coreProperties>
</file>