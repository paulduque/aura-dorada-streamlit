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name="Sheet1" sheetId="1" state="visible" r:id="rId1"/>
    <sheet name="CITAS" sheetId="2" state="visible" r:id="rId2"/>
    <sheet name="CLIENTES" sheetId="3" state="visible" r:id="rId3"/>
    <sheet name="PAG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tabSelected="1" workbookViewId="0">
      <selection activeCell="L19" sqref="L19"/>
    </sheetView>
  </sheetViews>
  <sheetFormatPr baseColWidth="10" defaultColWidth="9.140625" defaultRowHeight="15"/>
  <cols>
    <col width="20.140625" bestFit="1" customWidth="1" min="2" max="2"/>
    <col width="23" bestFit="1" customWidth="1" min="3" max="3"/>
    <col width="10.85546875" bestFit="1" customWidth="1" min="4" max="4"/>
    <col width="12.28515625" bestFit="1" customWidth="1" min="5" max="5"/>
    <col width="12.140625" bestFit="1" customWidth="1" min="6" max="6"/>
    <col width="9.42578125" bestFit="1" customWidth="1" min="7" max="7"/>
    <col width="10.28515625" bestFit="1" customWidth="1" min="8" max="8"/>
    <col width="13.28515625" bestFit="1" customWidth="1" min="9" max="9"/>
    <col width="10" customWidth="1" min="10" max="10"/>
    <col width="9.28515625" bestFit="1" customWidth="1" min="13" max="13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TRATAMIENTO</t>
        </is>
      </c>
      <c r="D1" s="1" t="inlineStr">
        <is>
          <t>TIPO</t>
        </is>
      </c>
      <c r="E1" s="1" t="inlineStr">
        <is>
          <t>ES_PAQUETE</t>
        </is>
      </c>
      <c r="F1" s="1" t="inlineStr">
        <is>
          <t>ID_PAQUETE</t>
        </is>
      </c>
      <c r="G1" s="1" t="inlineStr">
        <is>
          <t>SESIONES</t>
        </is>
      </c>
      <c r="H1" s="1" t="inlineStr">
        <is>
          <t>ATENDIDO</t>
        </is>
      </c>
      <c r="I1" s="1" t="inlineStr">
        <is>
          <t>POR ATENDER</t>
        </is>
      </c>
      <c r="J1" s="1" t="inlineStr">
        <is>
          <t>VALOR</t>
        </is>
      </c>
      <c r="K1" s="1" t="inlineStr">
        <is>
          <t>ANTICIPO</t>
        </is>
      </c>
      <c r="L1" s="1" t="inlineStr">
        <is>
          <t>SALDO</t>
        </is>
      </c>
      <c r="M1" s="1" t="inlineStr">
        <is>
          <t>ESTADO</t>
        </is>
      </c>
      <c r="N1" s="1" t="inlineStr">
        <is>
          <t>OBSERVACIONES</t>
        </is>
      </c>
    </row>
    <row r="2">
      <c r="B2" t="inlineStr">
        <is>
          <t>Luis</t>
        </is>
      </c>
      <c r="C2" t="inlineStr">
        <is>
          <t>Masaje y aparatologia</t>
        </is>
      </c>
      <c r="D2" t="inlineStr">
        <is>
          <t>CORPORAL</t>
        </is>
      </c>
      <c r="E2" t="inlineStr">
        <is>
          <t>NO</t>
        </is>
      </c>
      <c r="F2" t="inlineStr">
        <is>
          <t>TRA001</t>
        </is>
      </c>
      <c r="G2" t="n">
        <v>10</v>
      </c>
      <c r="H2" t="n">
        <v>1</v>
      </c>
      <c r="I2" t="n">
        <v>9</v>
      </c>
      <c r="J2" t="n">
        <v>70</v>
      </c>
      <c r="K2" t="n">
        <v>70</v>
      </c>
      <c r="M2">
        <f>IF(F2=F3,"Incluido",(IF(L2=0,"Pagado","Por pagar")))</f>
        <v/>
      </c>
    </row>
    <row r="3">
      <c r="B3" t="inlineStr">
        <is>
          <t>Dayana Cerón</t>
        </is>
      </c>
      <c r="C3" t="inlineStr">
        <is>
          <t>Masaje y aparatologia</t>
        </is>
      </c>
      <c r="D3" t="inlineStr">
        <is>
          <t>CORPORAL</t>
        </is>
      </c>
      <c r="E3" t="inlineStr">
        <is>
          <t>NO</t>
        </is>
      </c>
      <c r="F3" t="inlineStr">
        <is>
          <t>TRA002</t>
        </is>
      </c>
      <c r="G3" t="n">
        <v>10</v>
      </c>
      <c r="H3" t="n">
        <v>3</v>
      </c>
      <c r="I3" t="n">
        <v>7</v>
      </c>
      <c r="J3" t="n">
        <v>70</v>
      </c>
      <c r="K3" t="n">
        <v>70</v>
      </c>
      <c r="M3">
        <f>IF(F3=F4,"Incluido",(IF(L3=0,"Pagado","Por pagar")))</f>
        <v/>
      </c>
    </row>
    <row r="4">
      <c r="B4" t="inlineStr">
        <is>
          <t>Dayana Cerón</t>
        </is>
      </c>
      <c r="C4" t="inlineStr">
        <is>
          <t>HiFu</t>
        </is>
      </c>
      <c r="D4" t="inlineStr">
        <is>
          <t>CORPORAL</t>
        </is>
      </c>
      <c r="E4" t="inlineStr">
        <is>
          <t>NO</t>
        </is>
      </c>
      <c r="F4" t="inlineStr">
        <is>
          <t>TRA003</t>
        </is>
      </c>
      <c r="G4" t="n">
        <v>3</v>
      </c>
      <c r="H4" t="n">
        <v>2</v>
      </c>
      <c r="I4" t="n">
        <v>1</v>
      </c>
      <c r="J4" t="n">
        <v>110</v>
      </c>
      <c r="K4" t="n">
        <v>110</v>
      </c>
      <c r="M4">
        <f>IF(F4=F5,"Incluido",(IF(L4=0,"Pagado","Por pagar")))</f>
        <v/>
      </c>
    </row>
    <row r="5">
      <c r="B5" t="inlineStr">
        <is>
          <t>Dayana Cerón</t>
        </is>
      </c>
      <c r="C5" t="inlineStr">
        <is>
          <t>Mesoterapia</t>
        </is>
      </c>
      <c r="D5" t="inlineStr">
        <is>
          <t>CORPORAL</t>
        </is>
      </c>
      <c r="E5" t="inlineStr">
        <is>
          <t>SI</t>
        </is>
      </c>
      <c r="F5" t="inlineStr">
        <is>
          <t>PKG000</t>
        </is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M5">
        <f>IF(F5=F6,"Incluido",(IF(L5=0,"Pagado","Por pagar")))</f>
        <v/>
      </c>
    </row>
    <row r="6">
      <c r="B6" t="inlineStr">
        <is>
          <t>Dayana Cerón</t>
        </is>
      </c>
      <c r="C6" t="inlineStr">
        <is>
          <t>HiFu</t>
        </is>
      </c>
      <c r="D6" t="inlineStr">
        <is>
          <t>FACIAL</t>
        </is>
      </c>
      <c r="E6" t="inlineStr">
        <is>
          <t>SI</t>
        </is>
      </c>
      <c r="F6" t="inlineStr">
        <is>
          <t>PKG000</t>
        </is>
      </c>
      <c r="G6" t="n">
        <v>2</v>
      </c>
      <c r="H6" t="n">
        <v>2</v>
      </c>
      <c r="I6" t="n">
        <v>0</v>
      </c>
      <c r="J6" t="n">
        <v>61</v>
      </c>
      <c r="K6" t="n">
        <v>0</v>
      </c>
      <c r="M6">
        <f>IF(F6=F7,"Incluido",(IF(L6=0,"Pagado","Por pagar")))</f>
        <v/>
      </c>
    </row>
    <row r="7">
      <c r="B7" t="inlineStr">
        <is>
          <t>Alexandra Hernández</t>
        </is>
      </c>
      <c r="C7" t="inlineStr">
        <is>
          <t>HiFu</t>
        </is>
      </c>
      <c r="D7" t="inlineStr">
        <is>
          <t>FACIAL</t>
        </is>
      </c>
      <c r="E7" t="inlineStr">
        <is>
          <t>SI</t>
        </is>
      </c>
      <c r="F7" t="inlineStr">
        <is>
          <t>PKG001</t>
        </is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M7">
        <f>IF(F7=F8,"Incluido",(IF(L7=0,"Pagado","Por pagar")))</f>
        <v/>
      </c>
    </row>
    <row r="8">
      <c r="B8" t="inlineStr">
        <is>
          <t>Alexandra Hernández</t>
        </is>
      </c>
      <c r="C8" t="inlineStr">
        <is>
          <t>Despigmentante</t>
        </is>
      </c>
      <c r="D8" t="inlineStr">
        <is>
          <t>FACIAL</t>
        </is>
      </c>
      <c r="E8" t="inlineStr">
        <is>
          <t>SI</t>
        </is>
      </c>
      <c r="F8" t="inlineStr">
        <is>
          <t>PKG001</t>
        </is>
      </c>
      <c r="G8" t="n">
        <v>4</v>
      </c>
      <c r="H8" t="n">
        <v>0</v>
      </c>
      <c r="I8" t="n">
        <v>4</v>
      </c>
      <c r="J8" t="n">
        <v>115</v>
      </c>
      <c r="K8" t="n">
        <v>50</v>
      </c>
      <c r="M8">
        <f>IF(F8=F9,"Incluido",(IF(L8=0,"Pagado","Por pagar")))</f>
        <v/>
      </c>
    </row>
    <row r="9">
      <c r="B9" t="inlineStr">
        <is>
          <t>Alexandra Hernández</t>
        </is>
      </c>
      <c r="C9" t="inlineStr">
        <is>
          <t>Hidrolipoclasia</t>
        </is>
      </c>
      <c r="D9" t="inlineStr">
        <is>
          <t>CORPORAL</t>
        </is>
      </c>
      <c r="E9" t="inlineStr">
        <is>
          <t>SI</t>
        </is>
      </c>
      <c r="F9" t="inlineStr">
        <is>
          <t>PKG002</t>
        </is>
      </c>
      <c r="G9" t="n">
        <v>3</v>
      </c>
      <c r="H9" t="n">
        <v>1</v>
      </c>
      <c r="I9" t="n">
        <v>2</v>
      </c>
      <c r="J9" t="n">
        <v>0</v>
      </c>
      <c r="K9" t="n">
        <v>0</v>
      </c>
      <c r="M9">
        <f>IF(F9=F10,"Incluido",(IF(L9=0,"Pagado","Por pagar")))</f>
        <v/>
      </c>
    </row>
    <row r="10">
      <c r="B10" t="inlineStr">
        <is>
          <t>Alexandra Hernández</t>
        </is>
      </c>
      <c r="C10" t="inlineStr">
        <is>
          <t>Aparatologias</t>
        </is>
      </c>
      <c r="D10" t="inlineStr">
        <is>
          <t>CORPORAL</t>
        </is>
      </c>
      <c r="E10" t="inlineStr">
        <is>
          <t>SI</t>
        </is>
      </c>
      <c r="F10" t="inlineStr">
        <is>
          <t>PKG002</t>
        </is>
      </c>
      <c r="G10" t="n">
        <v>3</v>
      </c>
      <c r="H10" t="n">
        <v>0</v>
      </c>
      <c r="I10" t="n">
        <v>3</v>
      </c>
      <c r="J10" t="n">
        <v>150</v>
      </c>
      <c r="K10" t="n">
        <v>50</v>
      </c>
      <c r="M10">
        <f>IF(F10=F11,"Incluido",(IF(L10=0,"Pagado","Por pagar")))</f>
        <v/>
      </c>
    </row>
    <row r="11">
      <c r="B11" t="inlineStr">
        <is>
          <t>María Belén</t>
        </is>
      </c>
      <c r="C11" t="inlineStr">
        <is>
          <t>Mesoterapia</t>
        </is>
      </c>
      <c r="D11" t="inlineStr">
        <is>
          <t>CORPORAL</t>
        </is>
      </c>
      <c r="E11" t="inlineStr">
        <is>
          <t>SI</t>
        </is>
      </c>
      <c r="F11" t="inlineStr">
        <is>
          <t>PKG003</t>
        </is>
      </c>
      <c r="G11" t="n">
        <v>5</v>
      </c>
      <c r="H11" t="n">
        <v>1</v>
      </c>
      <c r="I11" t="n">
        <v>4</v>
      </c>
      <c r="J11" t="n">
        <v>0</v>
      </c>
      <c r="K11" t="n">
        <v>0</v>
      </c>
      <c r="M11">
        <f>IF(F11=F12,"Incluido",(IF(L11=0,"Pagado","Por pagar")))</f>
        <v/>
      </c>
      <c r="N11" t="inlineStr">
        <is>
          <t>Brazos</t>
        </is>
      </c>
    </row>
    <row r="12">
      <c r="B12" t="inlineStr">
        <is>
          <t>María Belén</t>
        </is>
      </c>
      <c r="C12" t="inlineStr">
        <is>
          <t>Masaje y aparatologia</t>
        </is>
      </c>
      <c r="D12" t="inlineStr">
        <is>
          <t>CORPORAL</t>
        </is>
      </c>
      <c r="E12" t="inlineStr">
        <is>
          <t>SI</t>
        </is>
      </c>
      <c r="F12" t="inlineStr">
        <is>
          <t>PKG003</t>
        </is>
      </c>
      <c r="G12" t="n">
        <v>5</v>
      </c>
      <c r="H12" t="n">
        <v>1</v>
      </c>
      <c r="I12" t="n">
        <v>4</v>
      </c>
      <c r="J12" t="n">
        <v>99</v>
      </c>
      <c r="K12" t="n">
        <v>0</v>
      </c>
      <c r="M12">
        <f>IF(F12=F13,"Incluido",(IF(L12=0,"Pagado","Por pagar")))</f>
        <v/>
      </c>
    </row>
    <row r="13">
      <c r="B13" t="inlineStr">
        <is>
          <t>María Belén</t>
        </is>
      </c>
      <c r="C13" t="inlineStr">
        <is>
          <t>Mesoterapia</t>
        </is>
      </c>
      <c r="D13" t="inlineStr">
        <is>
          <t>FACIAL</t>
        </is>
      </c>
      <c r="E13" t="inlineStr">
        <is>
          <t>SI</t>
        </is>
      </c>
      <c r="F13" t="inlineStr">
        <is>
          <t>PKG004</t>
        </is>
      </c>
      <c r="G13" t="n">
        <v>5</v>
      </c>
      <c r="H13" t="n">
        <v>0</v>
      </c>
      <c r="I13" t="n">
        <v>5</v>
      </c>
      <c r="J13" t="n">
        <v>0</v>
      </c>
      <c r="K13" t="n">
        <v>0</v>
      </c>
      <c r="M13">
        <f>IF(F13=F14,"Incluido",(IF(L13=0,"Pagado","Por pagar")))</f>
        <v/>
      </c>
      <c r="N13" t="inlineStr">
        <is>
          <t>Ojeras</t>
        </is>
      </c>
    </row>
    <row r="14">
      <c r="B14" t="inlineStr">
        <is>
          <t>María Belén</t>
        </is>
      </c>
      <c r="C14" t="inlineStr">
        <is>
          <t>Aparatologias</t>
        </is>
      </c>
      <c r="D14" t="inlineStr">
        <is>
          <t>FACIAL</t>
        </is>
      </c>
      <c r="E14" t="inlineStr">
        <is>
          <t>SI</t>
        </is>
      </c>
      <c r="F14" t="inlineStr">
        <is>
          <t>PKG004</t>
        </is>
      </c>
      <c r="G14" t="n">
        <v>5</v>
      </c>
      <c r="H14" t="n">
        <v>0</v>
      </c>
      <c r="I14" t="n">
        <v>5</v>
      </c>
      <c r="J14" t="n">
        <v>125</v>
      </c>
      <c r="K14" t="n">
        <v>0</v>
      </c>
      <c r="M14">
        <f>IF(F14=F15,"Incluido",(IF(L14=0,"Pagado","Por pagar")))</f>
        <v/>
      </c>
    </row>
    <row r="15">
      <c r="B15" t="inlineStr">
        <is>
          <t>María Belén</t>
        </is>
      </c>
      <c r="C15" t="inlineStr">
        <is>
          <t>HiFu</t>
        </is>
      </c>
      <c r="D15" t="inlineStr">
        <is>
          <t>FACIAL</t>
        </is>
      </c>
      <c r="E15" t="inlineStr">
        <is>
          <t>SI</t>
        </is>
      </c>
      <c r="F15" t="inlineStr">
        <is>
          <t>PKG005</t>
        </is>
      </c>
      <c r="G15" t="n">
        <v>7</v>
      </c>
      <c r="H15" t="n">
        <v>0</v>
      </c>
      <c r="I15" t="n">
        <v>7</v>
      </c>
      <c r="J15" t="n">
        <v>0</v>
      </c>
      <c r="K15" t="n">
        <v>0</v>
      </c>
      <c r="M15">
        <f>IF(F15=F16,"Incluido",(IF(L15=0,"Pagado","Por pagar")))</f>
        <v/>
      </c>
    </row>
    <row r="16">
      <c r="B16" t="inlineStr">
        <is>
          <t>María Belén</t>
        </is>
      </c>
      <c r="C16" t="inlineStr">
        <is>
          <t>Enzima recombinante</t>
        </is>
      </c>
      <c r="D16" t="inlineStr">
        <is>
          <t>FACIAL</t>
        </is>
      </c>
      <c r="E16" t="inlineStr">
        <is>
          <t>SI</t>
        </is>
      </c>
      <c r="F16" t="inlineStr">
        <is>
          <t>PKG005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M16">
        <f>IF(F16=F17,"Incluido",(IF(L16=0,"Pagado","Por pagar")))</f>
        <v/>
      </c>
    </row>
    <row r="17">
      <c r="B17" t="inlineStr">
        <is>
          <t>María Belén</t>
        </is>
      </c>
      <c r="C17" t="inlineStr">
        <is>
          <t>Estimulador de colágeno</t>
        </is>
      </c>
      <c r="D17" t="inlineStr">
        <is>
          <t>FACIAL</t>
        </is>
      </c>
      <c r="E17" t="inlineStr">
        <is>
          <t>SI</t>
        </is>
      </c>
      <c r="F17" t="inlineStr">
        <is>
          <t>PKG005</t>
        </is>
      </c>
      <c r="G17" t="n">
        <v>3</v>
      </c>
      <c r="H17" t="n">
        <v>0</v>
      </c>
      <c r="I17" t="n">
        <v>3</v>
      </c>
      <c r="J17" t="n">
        <v>0</v>
      </c>
      <c r="K17" t="n">
        <v>0</v>
      </c>
      <c r="M17">
        <f>IF(F17=F18,"Incluido",(IF(L17=0,"Pagado","Por pagar")))</f>
        <v/>
      </c>
    </row>
    <row r="18">
      <c r="B18" t="inlineStr">
        <is>
          <t>María Belén</t>
        </is>
      </c>
      <c r="C18" t="inlineStr">
        <is>
          <t>Aparatologias</t>
        </is>
      </c>
      <c r="D18" t="inlineStr">
        <is>
          <t>FACIAL</t>
        </is>
      </c>
      <c r="E18" t="inlineStr">
        <is>
          <t>SI</t>
        </is>
      </c>
      <c r="F18" t="inlineStr">
        <is>
          <t>PKG005</t>
        </is>
      </c>
      <c r="G18" t="n">
        <v>3</v>
      </c>
      <c r="H18" t="n">
        <v>0</v>
      </c>
      <c r="I18" t="n">
        <v>3</v>
      </c>
      <c r="J18" t="n">
        <v>160</v>
      </c>
      <c r="K18" t="n">
        <v>160</v>
      </c>
      <c r="M18">
        <f>IF(F18=F19,"Incluido",(IF(L18=0,"Pagado","Por pagar")))</f>
        <v/>
      </c>
      <c r="N18" t="inlineStr">
        <is>
          <t>pagos para 3 quincenas cada 15 días</t>
        </is>
      </c>
    </row>
    <row r="19">
      <c r="B19" t="inlineStr">
        <is>
          <t>Leila Loor</t>
        </is>
      </c>
      <c r="C19" t="inlineStr">
        <is>
          <t>HiFu</t>
        </is>
      </c>
      <c r="D19" t="inlineStr">
        <is>
          <t>FACIAL</t>
        </is>
      </c>
      <c r="E19" t="inlineStr">
        <is>
          <t>SI</t>
        </is>
      </c>
      <c r="F19" t="inlineStr">
        <is>
          <t>PKG006</t>
        </is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M19">
        <f>IF(F19=F20,"Incluido",(IF(L19=0,"Pagado","Por pagar")))</f>
        <v/>
      </c>
    </row>
    <row r="20">
      <c r="B20" t="inlineStr">
        <is>
          <t>Leila Loor</t>
        </is>
      </c>
      <c r="C20" t="inlineStr">
        <is>
          <t>HiFu</t>
        </is>
      </c>
      <c r="D20" t="inlineStr">
        <is>
          <t>CORPORAL</t>
        </is>
      </c>
      <c r="E20" t="inlineStr">
        <is>
          <t>SI</t>
        </is>
      </c>
      <c r="F20" t="inlineStr">
        <is>
          <t>PKG006</t>
        </is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M20">
        <f>IF(F20=F21,"Incluido",(IF(L20=0,"Pagado","Por pagar")))</f>
        <v/>
      </c>
    </row>
    <row r="21">
      <c r="B21" t="inlineStr">
        <is>
          <t>Leila Loor</t>
        </is>
      </c>
      <c r="C21" t="inlineStr">
        <is>
          <t>Caja de quemadores</t>
        </is>
      </c>
      <c r="D21" t="inlineStr">
        <is>
          <t>PRODUCTO</t>
        </is>
      </c>
      <c r="E21" t="inlineStr">
        <is>
          <t>SI</t>
        </is>
      </c>
      <c r="F21" t="inlineStr">
        <is>
          <t>PKG006</t>
        </is>
      </c>
      <c r="G21" t="n">
        <v>1</v>
      </c>
      <c r="H21" t="n">
        <v>1</v>
      </c>
      <c r="I21" t="n">
        <v>0</v>
      </c>
      <c r="J21" t="n">
        <v>200</v>
      </c>
      <c r="K21" t="n">
        <v>200</v>
      </c>
      <c r="M21">
        <f>IF(F21=F22,"Incluido",(IF(L21=0,"Pagado","Por pagar")))</f>
        <v/>
      </c>
    </row>
    <row r="22">
      <c r="B22" t="inlineStr">
        <is>
          <t>Geovanna Morales</t>
        </is>
      </c>
      <c r="C22" t="inlineStr">
        <is>
          <t>Plasma despigmentante</t>
        </is>
      </c>
      <c r="D22" t="inlineStr">
        <is>
          <t>FACIAL</t>
        </is>
      </c>
      <c r="E22" t="inlineStr">
        <is>
          <t>NO</t>
        </is>
      </c>
      <c r="F22" t="inlineStr">
        <is>
          <t>TRA004</t>
        </is>
      </c>
      <c r="G22" t="n">
        <v>7</v>
      </c>
      <c r="H22" t="n">
        <v>1</v>
      </c>
      <c r="I22" t="n">
        <v>6</v>
      </c>
      <c r="J22" t="n">
        <v>140</v>
      </c>
      <c r="K22" t="n">
        <v>70</v>
      </c>
      <c r="M22">
        <f>IF(F22=F23,"Incluido",(IF(L22=0,"Pagado","Por pagar")))</f>
        <v/>
      </c>
      <c r="N22" t="inlineStr">
        <is>
          <t>Paquete de manchas faciales. Ibarra</t>
        </is>
      </c>
    </row>
    <row r="23">
      <c r="B23" t="inlineStr">
        <is>
          <t>Geovanna Morales</t>
        </is>
      </c>
      <c r="C23" t="inlineStr">
        <is>
          <t>Hidrolipoclasia</t>
        </is>
      </c>
      <c r="D23" t="inlineStr">
        <is>
          <t>CORPORAL</t>
        </is>
      </c>
      <c r="E23" t="inlineStr">
        <is>
          <t>SI</t>
        </is>
      </c>
      <c r="F23" t="inlineStr">
        <is>
          <t>PKG007</t>
        </is>
      </c>
      <c r="G23" t="n">
        <v>3</v>
      </c>
      <c r="H23" t="n">
        <v>0</v>
      </c>
      <c r="I23" t="n">
        <v>3</v>
      </c>
      <c r="J23" t="n">
        <v>0</v>
      </c>
      <c r="K23" t="n">
        <v>0</v>
      </c>
      <c r="M23">
        <f>IF(F23=F24,"Incluido",(IF(L23=0,"Pagado","Por pagar")))</f>
        <v/>
      </c>
      <c r="N23" t="inlineStr">
        <is>
          <t>Paquete corporal, inicia el 12 de enero</t>
        </is>
      </c>
    </row>
    <row r="24">
      <c r="B24" t="inlineStr">
        <is>
          <t>Geovanna Morales</t>
        </is>
      </c>
      <c r="C24" t="inlineStr">
        <is>
          <t>Aparatologias</t>
        </is>
      </c>
      <c r="D24" t="inlineStr">
        <is>
          <t>CORPORAL</t>
        </is>
      </c>
      <c r="E24" t="inlineStr">
        <is>
          <t>SI</t>
        </is>
      </c>
      <c r="F24" t="inlineStr">
        <is>
          <t>PKG007</t>
        </is>
      </c>
      <c r="G24" t="n">
        <v>5</v>
      </c>
      <c r="H24" t="n">
        <v>0</v>
      </c>
      <c r="I24" t="n">
        <v>5</v>
      </c>
      <c r="J24" t="n">
        <v>0</v>
      </c>
      <c r="K24" t="n">
        <v>0</v>
      </c>
      <c r="M24">
        <f>IF(F24=F25,"Incluido",(IF(L24=0,"Pagado","Por pagar")))</f>
        <v/>
      </c>
      <c r="N24" t="inlineStr">
        <is>
          <t>2 sesiones obsequio aparatología</t>
        </is>
      </c>
    </row>
    <row r="25">
      <c r="B25" t="inlineStr">
        <is>
          <t>Geovanna Morales</t>
        </is>
      </c>
      <c r="C25" t="inlineStr">
        <is>
          <t>Vacunas oligoelementos</t>
        </is>
      </c>
      <c r="D25" t="inlineStr">
        <is>
          <t>CORPORAL</t>
        </is>
      </c>
      <c r="E25" t="inlineStr">
        <is>
          <t>SI</t>
        </is>
      </c>
      <c r="F25" t="inlineStr">
        <is>
          <t>PKG007</t>
        </is>
      </c>
      <c r="G25" t="n">
        <v>5</v>
      </c>
      <c r="H25" t="n">
        <v>0</v>
      </c>
      <c r="I25" t="n">
        <v>5</v>
      </c>
      <c r="J25" t="n">
        <v>0</v>
      </c>
      <c r="K25" t="n">
        <v>0</v>
      </c>
      <c r="M25">
        <f>IF(F25=F26,"Incluido",(IF(L25=0,"Pagado","Por pagar")))</f>
        <v/>
      </c>
    </row>
    <row r="26">
      <c r="B26" t="inlineStr">
        <is>
          <t>Geovanna Morales</t>
        </is>
      </c>
      <c r="C26" t="inlineStr">
        <is>
          <t>HiFu</t>
        </is>
      </c>
      <c r="D26" t="inlineStr">
        <is>
          <t>CORPORAL</t>
        </is>
      </c>
      <c r="E26" t="inlineStr">
        <is>
          <t>SI</t>
        </is>
      </c>
      <c r="F26" t="inlineStr">
        <is>
          <t>PKG007</t>
        </is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M26">
        <f>IF(F26=F27,"Incluido",(IF(L26=0,"Pagado","Por pagar")))</f>
        <v/>
      </c>
    </row>
    <row r="27">
      <c r="B27" t="inlineStr">
        <is>
          <t>Geovanna Morales</t>
        </is>
      </c>
      <c r="C27" t="inlineStr">
        <is>
          <t>Drenaje linfático</t>
        </is>
      </c>
      <c r="D27" t="inlineStr">
        <is>
          <t>CORPORAL</t>
        </is>
      </c>
      <c r="E27" t="inlineStr">
        <is>
          <t>SI</t>
        </is>
      </c>
      <c r="F27" t="inlineStr">
        <is>
          <t>PKG007</t>
        </is>
      </c>
      <c r="G27" t="n">
        <v>1</v>
      </c>
      <c r="H27" t="n">
        <v>0</v>
      </c>
      <c r="I27" t="n">
        <v>1</v>
      </c>
      <c r="J27" t="n">
        <v>295</v>
      </c>
      <c r="K27" t="n">
        <v>0</v>
      </c>
      <c r="M27">
        <f>IF(F27=F28,"Incluido",(IF(L27=0,"Pagado","Por pagar")))</f>
        <v/>
      </c>
    </row>
    <row r="28">
      <c r="B28" t="inlineStr">
        <is>
          <t>Geovanna Morales</t>
        </is>
      </c>
      <c r="C28" t="inlineStr">
        <is>
          <t>HiFu</t>
        </is>
      </c>
      <c r="D28" t="inlineStr">
        <is>
          <t>FACIAL</t>
        </is>
      </c>
      <c r="E28" t="inlineStr">
        <is>
          <t>SI</t>
        </is>
      </c>
      <c r="F28" t="inlineStr">
        <is>
          <t>PKG007</t>
        </is>
      </c>
      <c r="G28" t="n">
        <v>1</v>
      </c>
      <c r="H28" t="n">
        <v>0</v>
      </c>
      <c r="I28" t="n">
        <v>30</v>
      </c>
      <c r="J28" t="n">
        <v>30</v>
      </c>
      <c r="K28" t="n">
        <v>0</v>
      </c>
      <c r="M28">
        <f>IF(F28=F29,"Incluido",(IF(L28=0,"Pagado","Por pagar")))</f>
        <v/>
      </c>
      <c r="N28" t="inlineStr">
        <is>
          <t>Limpieza facial piel madura de obsequio</t>
        </is>
      </c>
    </row>
  </sheetData>
  <pageMargins left="0.75" right="0.75" top="1" bottom="1" header="0.5" footer="0.5"/>
  <pageSetup orientation="portrait" paperSize="9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D3" sqref="D3"/>
    </sheetView>
  </sheetViews>
  <sheetFormatPr baseColWidth="10" defaultColWidth="9.140625" defaultRowHeight="15"/>
  <cols>
    <col width="10.42578125" bestFit="1" customWidth="1" min="2" max="2"/>
    <col width="12.42578125" bestFit="1" customWidth="1" min="4" max="4"/>
    <col width="14.28515625" bestFit="1" customWidth="1" min="5" max="5"/>
  </cols>
  <sheetData>
    <row r="1">
      <c r="A1" s="3" t="inlineStr">
        <is>
          <t>ID</t>
        </is>
      </c>
      <c r="B1" s="3" t="inlineStr">
        <is>
          <t>FECHA</t>
        </is>
      </c>
      <c r="C1" s="3" t="inlineStr">
        <is>
          <t>HORA</t>
        </is>
      </c>
      <c r="D1" s="3" t="inlineStr">
        <is>
          <t>CLIENTE</t>
        </is>
      </c>
      <c r="E1" s="3" t="inlineStr">
        <is>
          <t>TRATAMIENTO</t>
        </is>
      </c>
      <c r="F1" s="3" t="inlineStr">
        <is>
          <t>ESTADO</t>
        </is>
      </c>
    </row>
    <row r="2">
      <c r="B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ID</t>
        </is>
      </c>
      <c r="B1" s="6" t="inlineStr">
        <is>
          <t>NOMBRE</t>
        </is>
      </c>
      <c r="C1" s="6" t="inlineStr">
        <is>
          <t>TELEFONO</t>
        </is>
      </c>
      <c r="D1" s="6" t="inlineStr">
        <is>
          <t>EMAIL</t>
        </is>
      </c>
    </row>
    <row r="2">
      <c r="A2" t="n">
        <v>1</v>
      </c>
      <c r="B2" t="inlineStr">
        <is>
          <t>Luis</t>
        </is>
      </c>
      <c r="C2" t="inlineStr">
        <is>
          <t>099 999 9999</t>
        </is>
      </c>
      <c r="D2" t="inlineStr">
        <is>
          <t>luis@email.com</t>
        </is>
      </c>
    </row>
    <row r="3">
      <c r="A3" t="n">
        <v>2</v>
      </c>
      <c r="B3" t="inlineStr">
        <is>
          <t>Dayana Cerón</t>
        </is>
      </c>
      <c r="C3" t="inlineStr"/>
      <c r="D3" t="inlineStr"/>
    </row>
    <row r="4">
      <c r="A4" t="n">
        <v>3</v>
      </c>
      <c r="B4" t="inlineStr">
        <is>
          <t>Alexandra Hernández</t>
        </is>
      </c>
      <c r="C4" t="inlineStr"/>
      <c r="D4" t="inlineStr"/>
    </row>
    <row r="5">
      <c r="A5" t="n">
        <v>4</v>
      </c>
      <c r="B5" t="inlineStr">
        <is>
          <t>María Belén</t>
        </is>
      </c>
      <c r="C5" t="inlineStr"/>
      <c r="D5" t="inlineStr"/>
    </row>
    <row r="6">
      <c r="A6" t="n">
        <v>5</v>
      </c>
      <c r="B6" t="inlineStr">
        <is>
          <t>Leila Loor</t>
        </is>
      </c>
      <c r="C6" t="inlineStr"/>
      <c r="D6" t="inlineStr"/>
    </row>
    <row r="7">
      <c r="A7" t="n">
        <v>6</v>
      </c>
      <c r="B7" t="inlineStr">
        <is>
          <t>Geovanna Morales</t>
        </is>
      </c>
      <c r="C7" t="inlineStr"/>
      <c r="D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:XFD1048576"/>
    </sheetView>
  </sheetViews>
  <sheetFormatPr baseColWidth="10" defaultColWidth="9.140625" defaultRowHeight="15"/>
  <cols>
    <col width="2.85546875" bestFit="1" customWidth="1" min="1" max="1"/>
    <col width="6.7109375" bestFit="1" customWidth="1" min="2" max="2"/>
    <col width="8" bestFit="1" customWidth="1" min="3" max="3"/>
    <col width="14" bestFit="1" customWidth="1" min="4" max="4"/>
    <col width="8.140625" bestFit="1" customWidth="1" min="5" max="5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CLIENTE</t>
        </is>
      </c>
      <c r="D1" s="2" t="inlineStr">
        <is>
          <t>TRATAMIENTO</t>
        </is>
      </c>
      <c r="E1" s="2" t="inlineStr">
        <is>
          <t>MONTO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2026-01-13T23:55:00Z</dcterms:created>
  <dcterms:modified xsi:type="dcterms:W3CDTF">2026-01-19T22:12:00Z</dcterms:modified>
  <cp:lastModifiedBy>Paul Duque</cp:lastModifiedBy>
</cp:coreProperties>
</file>