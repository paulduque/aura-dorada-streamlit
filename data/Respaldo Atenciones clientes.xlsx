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F:\DISCO D\Paul\Documents\+Web Plus\Proyectos\Aura Dorada\aplicacion\data\"/>
    </mc:Choice>
  </mc:AlternateContent>
  <xr:revisionPtr revIDLastSave="0" documentId="13_ncr:1_{AF14619D-BC36-41F8-B829-1A039A01E9B9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M2" i="1"/>
</calcChain>
</file>

<file path=xl/sharedStrings.xml><?xml version="1.0" encoding="utf-8"?>
<sst xmlns="http://schemas.openxmlformats.org/spreadsheetml/2006/main" count="156" uniqueCount="56">
  <si>
    <t>FECHA</t>
  </si>
  <si>
    <t>NOMBRE</t>
  </si>
  <si>
    <t>TRATAMIENTO</t>
  </si>
  <si>
    <t>TIPO</t>
  </si>
  <si>
    <t>ES_PAQUETE</t>
  </si>
  <si>
    <t>ID_PAQUETE</t>
  </si>
  <si>
    <t>SESIONES</t>
  </si>
  <si>
    <t>ATENDIDO</t>
  </si>
  <si>
    <t>POR ATENDER</t>
  </si>
  <si>
    <t>VALOR</t>
  </si>
  <si>
    <t>ANTICIPO</t>
  </si>
  <si>
    <t>SALDO</t>
  </si>
  <si>
    <t>ESTADO</t>
  </si>
  <si>
    <t>OBSERVACIONES</t>
  </si>
  <si>
    <t>Luis</t>
  </si>
  <si>
    <t>Masaje y aparatologia</t>
  </si>
  <si>
    <t>CORPORAL</t>
  </si>
  <si>
    <t>NO</t>
  </si>
  <si>
    <t>TRA001</t>
  </si>
  <si>
    <t>Dayana Cerón</t>
  </si>
  <si>
    <t>TRA002</t>
  </si>
  <si>
    <t>HiFu</t>
  </si>
  <si>
    <t>TRA003</t>
  </si>
  <si>
    <t>Mesoterapia</t>
  </si>
  <si>
    <t>SI</t>
  </si>
  <si>
    <t>PKG000</t>
  </si>
  <si>
    <t>FACIAL</t>
  </si>
  <si>
    <t>Alexandra Hernández</t>
  </si>
  <si>
    <t>PKG001</t>
  </si>
  <si>
    <t>Despigmentante</t>
  </si>
  <si>
    <t>Hidrolipoclasia</t>
  </si>
  <si>
    <t>PKG002</t>
  </si>
  <si>
    <t>Aparatologias</t>
  </si>
  <si>
    <t>María Belén</t>
  </si>
  <si>
    <t>PKG003</t>
  </si>
  <si>
    <t>Brazos</t>
  </si>
  <si>
    <t>PKG004</t>
  </si>
  <si>
    <t>Ojeras</t>
  </si>
  <si>
    <t>PKG005</t>
  </si>
  <si>
    <t>Enzima recombinante</t>
  </si>
  <si>
    <t>Estimulador de colágeno</t>
  </si>
  <si>
    <t>pagos para 3 quincenas cada 15 días</t>
  </si>
  <si>
    <t>Leila Loor</t>
  </si>
  <si>
    <t>PKG006</t>
  </si>
  <si>
    <t>Caja de quemadores</t>
  </si>
  <si>
    <t>PRODUCTO</t>
  </si>
  <si>
    <t>Geovanna Morales</t>
  </si>
  <si>
    <t>Plasma despigmentante</t>
  </si>
  <si>
    <t>TRA004</t>
  </si>
  <si>
    <t>Paquete de manchas faciales. Ibarra</t>
  </si>
  <si>
    <t>PKG007</t>
  </si>
  <si>
    <t>Paquete corporal, inicia el 12 de enero</t>
  </si>
  <si>
    <t>2 sesiones obsequio aparatología</t>
  </si>
  <si>
    <t>Vacunas oligoelementos</t>
  </si>
  <si>
    <t>Drenaje linfático</t>
  </si>
  <si>
    <t>Limpieza facial piel madura de obsequio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</si>
</sst>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A13" workbookViewId="0">
      <selection activeCell="L22" sqref="L22"/>
    </sheetView>
  </sheetViews>
  <sheetFormatPr baseColWidth="10" defaultColWidth="9.140625" defaultRowHeight="15" x14ac:dyDescent="0.25"/>
  <cols>
    <col min="1" max="1" width="6.7109375" bestFit="1" customWidth="1"/>
    <col min="2" max="2" width="20.140625" bestFit="1" customWidth="1"/>
    <col min="3" max="3" width="23" bestFit="1" customWidth="1"/>
    <col min="4" max="4" width="10.85546875" bestFit="1" customWidth="1"/>
    <col min="5" max="5" width="12.28515625" bestFit="1" customWidth="1"/>
    <col min="6" max="6" width="12.140625" bestFit="1" customWidth="1"/>
    <col min="7" max="7" width="9.42578125" bestFit="1" customWidth="1"/>
    <col min="8" max="8" width="10.28515625" bestFit="1" customWidth="1"/>
    <col min="9" max="9" width="13.28515625" bestFit="1" customWidth="1"/>
    <col min="10" max="10" width="7" bestFit="1" customWidth="1"/>
    <col min="11" max="11" width="9.5703125" bestFit="1" customWidth="1"/>
    <col min="12" max="12" width="6.85546875" bestFit="1" customWidth="1"/>
    <col min="13" max="13" width="10.85546875" bestFit="1" customWidth="1"/>
    <col min="14" max="14" width="3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</v>
      </c>
      <c r="H2">
        <v>1</v>
      </c>
      <c r="I2">
        <v>9</v>
      </c>
      <c r="J2">
        <v>70</v>
      </c>
      <c r="K2">
        <v>70</v>
      </c>
      <c r="L2">
        <f>+J2-K2</f>
        <v>0</v>
      </c>
      <c r="M2" t="str">
        <f t="shared" ref="M2:M10" si="0">IF(F2=F3,"Incluido",(IF(L2=0,"Pagado","Por pagar")))</f>
        <v>Pagado</v>
      </c>
    </row>
    <row r="3" spans="1:14" x14ac:dyDescent="0.25">
      <c r="B3" t="s">
        <v>19</v>
      </c>
      <c r="C3" t="s">
        <v>15</v>
      </c>
      <c r="D3" t="s">
        <v>16</v>
      </c>
      <c r="E3" t="s">
        <v>17</v>
      </c>
      <c r="F3" t="s">
        <v>20</v>
      </c>
      <c r="G3">
        <v>10</v>
      </c>
      <c r="H3">
        <v>3</v>
      </c>
      <c r="I3">
        <v>7</v>
      </c>
      <c r="J3">
        <v>70</v>
      </c>
      <c r="K3">
        <v>70</v>
      </c>
      <c r="L3">
        <f t="shared" ref="L3:L28" si="1">+J3-K3</f>
        <v>0</v>
      </c>
      <c r="M3" t="str">
        <f t="shared" si="0"/>
        <v>Pagado</v>
      </c>
    </row>
    <row r="4" spans="1:14" x14ac:dyDescent="0.25">
      <c r="B4" t="s">
        <v>19</v>
      </c>
      <c r="C4" t="s">
        <v>21</v>
      </c>
      <c r="D4" t="s">
        <v>16</v>
      </c>
      <c r="E4" t="s">
        <v>17</v>
      </c>
      <c r="F4" t="s">
        <v>22</v>
      </c>
      <c r="G4">
        <v>3</v>
      </c>
      <c r="H4">
        <v>2</v>
      </c>
      <c r="I4">
        <v>1</v>
      </c>
      <c r="J4">
        <v>110</v>
      </c>
      <c r="K4">
        <v>110</v>
      </c>
      <c r="L4">
        <f t="shared" si="1"/>
        <v>0</v>
      </c>
      <c r="M4" t="str">
        <f t="shared" si="0"/>
        <v>Pagado</v>
      </c>
    </row>
    <row r="5" spans="1:14" x14ac:dyDescent="0.25">
      <c r="B5" t="s">
        <v>19</v>
      </c>
      <c r="C5" t="s">
        <v>23</v>
      </c>
      <c r="D5" t="s">
        <v>16</v>
      </c>
      <c r="E5" t="s">
        <v>24</v>
      </c>
      <c r="F5" t="s">
        <v>25</v>
      </c>
      <c r="G5">
        <v>1</v>
      </c>
      <c r="H5">
        <v>1</v>
      </c>
      <c r="I5">
        <v>0</v>
      </c>
      <c r="J5">
        <v>0</v>
      </c>
      <c r="K5">
        <v>0</v>
      </c>
      <c r="L5">
        <f t="shared" si="1"/>
        <v>0</v>
      </c>
      <c r="M5" t="str">
        <f t="shared" si="0"/>
        <v>Incluido</v>
      </c>
    </row>
    <row r="6" spans="1:14" x14ac:dyDescent="0.25">
      <c r="B6" t="s">
        <v>19</v>
      </c>
      <c r="C6" t="s">
        <v>21</v>
      </c>
      <c r="D6" t="s">
        <v>26</v>
      </c>
      <c r="E6" t="s">
        <v>24</v>
      </c>
      <c r="F6" t="s">
        <v>25</v>
      </c>
      <c r="G6">
        <v>2</v>
      </c>
      <c r="H6">
        <v>2</v>
      </c>
      <c r="I6">
        <v>0</v>
      </c>
      <c r="J6">
        <v>61</v>
      </c>
      <c r="K6">
        <v>0</v>
      </c>
      <c r="L6">
        <f t="shared" si="1"/>
        <v>61</v>
      </c>
      <c r="M6" t="str">
        <f t="shared" si="0"/>
        <v>Por pagar</v>
      </c>
    </row>
    <row r="7" spans="1:14" x14ac:dyDescent="0.25">
      <c r="B7" t="s">
        <v>27</v>
      </c>
      <c r="C7" t="s">
        <v>21</v>
      </c>
      <c r="D7" t="s">
        <v>26</v>
      </c>
      <c r="E7" t="s">
        <v>24</v>
      </c>
      <c r="F7" t="s">
        <v>28</v>
      </c>
      <c r="G7">
        <v>1</v>
      </c>
      <c r="H7">
        <v>1</v>
      </c>
      <c r="I7">
        <v>0</v>
      </c>
      <c r="J7">
        <v>0</v>
      </c>
      <c r="K7">
        <v>0</v>
      </c>
      <c r="L7">
        <f t="shared" si="1"/>
        <v>0</v>
      </c>
      <c r="M7" t="str">
        <f t="shared" si="0"/>
        <v>Incluido</v>
      </c>
    </row>
    <row r="8" spans="1:14" x14ac:dyDescent="0.25">
      <c r="B8" t="s">
        <v>27</v>
      </c>
      <c r="C8" t="s">
        <v>29</v>
      </c>
      <c r="D8" t="s">
        <v>26</v>
      </c>
      <c r="E8" t="s">
        <v>24</v>
      </c>
      <c r="F8" t="s">
        <v>28</v>
      </c>
      <c r="G8">
        <v>4</v>
      </c>
      <c r="H8">
        <v>0</v>
      </c>
      <c r="I8">
        <v>4</v>
      </c>
      <c r="J8">
        <v>115</v>
      </c>
      <c r="K8">
        <v>50</v>
      </c>
      <c r="L8">
        <f t="shared" si="1"/>
        <v>65</v>
      </c>
      <c r="M8" t="str">
        <f t="shared" si="0"/>
        <v>Por pagar</v>
      </c>
    </row>
    <row r="9" spans="1:14" x14ac:dyDescent="0.25">
      <c r="B9" t="s">
        <v>27</v>
      </c>
      <c r="C9" t="s">
        <v>30</v>
      </c>
      <c r="D9" t="s">
        <v>16</v>
      </c>
      <c r="E9" t="s">
        <v>24</v>
      </c>
      <c r="F9" t="s">
        <v>31</v>
      </c>
      <c r="G9">
        <v>3</v>
      </c>
      <c r="H9">
        <v>1</v>
      </c>
      <c r="I9">
        <v>2</v>
      </c>
      <c r="J9">
        <v>0</v>
      </c>
      <c r="K9">
        <v>0</v>
      </c>
      <c r="L9">
        <f t="shared" si="1"/>
        <v>0</v>
      </c>
      <c r="M9" t="str">
        <f t="shared" si="0"/>
        <v>Incluido</v>
      </c>
    </row>
    <row r="10" spans="1:14" x14ac:dyDescent="0.25">
      <c r="B10" t="s">
        <v>27</v>
      </c>
      <c r="C10" t="s">
        <v>32</v>
      </c>
      <c r="D10" t="s">
        <v>16</v>
      </c>
      <c r="E10" t="s">
        <v>24</v>
      </c>
      <c r="F10" t="s">
        <v>31</v>
      </c>
      <c r="G10">
        <v>3</v>
      </c>
      <c r="H10">
        <v>0</v>
      </c>
      <c r="I10">
        <v>3</v>
      </c>
      <c r="J10">
        <v>150</v>
      </c>
      <c r="K10">
        <v>50</v>
      </c>
      <c r="L10">
        <f t="shared" si="1"/>
        <v>100</v>
      </c>
      <c r="M10" t="str">
        <f t="shared" si="0"/>
        <v>Por pagar</v>
      </c>
    </row>
    <row r="11" spans="1:14" x14ac:dyDescent="0.25">
      <c r="B11" t="s">
        <v>33</v>
      </c>
      <c r="C11" t="s">
        <v>23</v>
      </c>
      <c r="D11" t="s">
        <v>16</v>
      </c>
      <c r="E11" t="s">
        <v>24</v>
      </c>
      <c r="F11" t="s">
        <v>34</v>
      </c>
      <c r="G11">
        <v>5</v>
      </c>
      <c r="H11">
        <v>1</v>
      </c>
      <c r="I11">
        <v>4</v>
      </c>
      <c r="J11">
        <v>0</v>
      </c>
      <c r="K11">
        <v>0</v>
      </c>
      <c r="L11">
        <f t="shared" si="1"/>
        <v>0</v>
      </c>
      <c r="M11" t="str">
        <f t="shared" ref="M11:M28" si="2">IF(F11=F12,"Incluido",(IF(L11=0,"Pagado","Por pagar")))</f>
        <v>Incluido</v>
      </c>
      <c r="N11" t="s">
        <v>35</v>
      </c>
    </row>
    <row r="12" spans="1:14" x14ac:dyDescent="0.25">
      <c r="B12" t="s">
        <v>33</v>
      </c>
      <c r="C12" t="s">
        <v>15</v>
      </c>
      <c r="D12" t="s">
        <v>16</v>
      </c>
      <c r="E12" t="s">
        <v>24</v>
      </c>
      <c r="F12" t="s">
        <v>34</v>
      </c>
      <c r="G12">
        <v>5</v>
      </c>
      <c r="H12">
        <v>1</v>
      </c>
      <c r="I12">
        <v>4</v>
      </c>
      <c r="J12">
        <v>99</v>
      </c>
      <c r="K12">
        <v>0</v>
      </c>
      <c r="L12">
        <f t="shared" si="1"/>
        <v>99</v>
      </c>
      <c r="M12" t="str">
        <f t="shared" si="2"/>
        <v>Por pagar</v>
      </c>
    </row>
    <row r="13" spans="1:14" x14ac:dyDescent="0.25">
      <c r="B13" t="s">
        <v>33</v>
      </c>
      <c r="C13" t="s">
        <v>23</v>
      </c>
      <c r="D13" t="s">
        <v>26</v>
      </c>
      <c r="E13" t="s">
        <v>24</v>
      </c>
      <c r="F13" t="s">
        <v>36</v>
      </c>
      <c r="G13">
        <v>5</v>
      </c>
      <c r="H13">
        <v>0</v>
      </c>
      <c r="I13">
        <v>5</v>
      </c>
      <c r="J13">
        <v>0</v>
      </c>
      <c r="K13">
        <v>0</v>
      </c>
      <c r="L13">
        <f t="shared" si="1"/>
        <v>0</v>
      </c>
      <c r="M13" t="str">
        <f t="shared" si="2"/>
        <v>Incluido</v>
      </c>
      <c r="N13" t="s">
        <v>37</v>
      </c>
    </row>
    <row r="14" spans="1:14" x14ac:dyDescent="0.25">
      <c r="B14" t="s">
        <v>33</v>
      </c>
      <c r="C14" t="s">
        <v>32</v>
      </c>
      <c r="D14" t="s">
        <v>26</v>
      </c>
      <c r="E14" t="s">
        <v>24</v>
      </c>
      <c r="F14" t="s">
        <v>36</v>
      </c>
      <c r="G14">
        <v>5</v>
      </c>
      <c r="H14">
        <v>0</v>
      </c>
      <c r="I14">
        <v>5</v>
      </c>
      <c r="J14">
        <v>125</v>
      </c>
      <c r="K14">
        <v>0</v>
      </c>
      <c r="L14">
        <f t="shared" si="1"/>
        <v>125</v>
      </c>
      <c r="M14" t="str">
        <f t="shared" si="2"/>
        <v>Por pagar</v>
      </c>
    </row>
    <row r="15" spans="1:14" x14ac:dyDescent="0.25">
      <c r="B15" t="s">
        <v>33</v>
      </c>
      <c r="C15" t="s">
        <v>21</v>
      </c>
      <c r="D15" t="s">
        <v>26</v>
      </c>
      <c r="E15" t="s">
        <v>24</v>
      </c>
      <c r="F15" t="s">
        <v>38</v>
      </c>
      <c r="G15">
        <v>7</v>
      </c>
      <c r="H15">
        <v>0</v>
      </c>
      <c r="I15">
        <v>7</v>
      </c>
      <c r="J15">
        <v>0</v>
      </c>
      <c r="K15">
        <v>0</v>
      </c>
      <c r="L15">
        <f t="shared" si="1"/>
        <v>0</v>
      </c>
      <c r="M15" t="str">
        <f t="shared" si="2"/>
        <v>Incluido</v>
      </c>
    </row>
    <row r="16" spans="1:14" x14ac:dyDescent="0.25">
      <c r="B16" t="s">
        <v>33</v>
      </c>
      <c r="C16" t="s">
        <v>39</v>
      </c>
      <c r="D16" t="s">
        <v>26</v>
      </c>
      <c r="E16" t="s">
        <v>24</v>
      </c>
      <c r="F16" t="s">
        <v>38</v>
      </c>
      <c r="G16">
        <v>1</v>
      </c>
      <c r="H16">
        <v>1</v>
      </c>
      <c r="I16">
        <v>0</v>
      </c>
      <c r="J16">
        <v>0</v>
      </c>
      <c r="K16">
        <v>0</v>
      </c>
      <c r="L16">
        <f t="shared" si="1"/>
        <v>0</v>
      </c>
      <c r="M16" t="str">
        <f t="shared" si="2"/>
        <v>Incluido</v>
      </c>
    </row>
    <row r="17" spans="2:14" x14ac:dyDescent="0.25">
      <c r="B17" t="s">
        <v>33</v>
      </c>
      <c r="C17" t="s">
        <v>40</v>
      </c>
      <c r="D17" t="s">
        <v>26</v>
      </c>
      <c r="E17" t="s">
        <v>24</v>
      </c>
      <c r="F17" t="s">
        <v>38</v>
      </c>
      <c r="G17">
        <v>3</v>
      </c>
      <c r="H17">
        <v>0</v>
      </c>
      <c r="I17">
        <v>3</v>
      </c>
      <c r="J17">
        <v>0</v>
      </c>
      <c r="K17">
        <v>0</v>
      </c>
      <c r="L17">
        <f t="shared" si="1"/>
        <v>0</v>
      </c>
      <c r="M17" t="str">
        <f t="shared" si="2"/>
        <v>Incluido</v>
      </c>
    </row>
    <row r="18" spans="2:14" x14ac:dyDescent="0.25">
      <c r="B18" t="s">
        <v>33</v>
      </c>
      <c r="C18" t="s">
        <v>32</v>
      </c>
      <c r="D18" t="s">
        <v>26</v>
      </c>
      <c r="E18" t="s">
        <v>24</v>
      </c>
      <c r="F18" t="s">
        <v>38</v>
      </c>
      <c r="G18">
        <v>3</v>
      </c>
      <c r="H18">
        <v>0</v>
      </c>
      <c r="I18">
        <v>3</v>
      </c>
      <c r="J18">
        <v>160</v>
      </c>
      <c r="K18">
        <v>130</v>
      </c>
      <c r="L18">
        <f t="shared" si="1"/>
        <v>30</v>
      </c>
      <c r="M18" t="str">
        <f t="shared" si="2"/>
        <v>Por pagar</v>
      </c>
      <c r="N18" t="s">
        <v>41</v>
      </c>
    </row>
    <row r="19" spans="2:14" x14ac:dyDescent="0.25">
      <c r="B19" t="s">
        <v>42</v>
      </c>
      <c r="C19" t="s">
        <v>21</v>
      </c>
      <c r="D19" t="s">
        <v>26</v>
      </c>
      <c r="E19" t="s">
        <v>24</v>
      </c>
      <c r="F19" t="s">
        <v>43</v>
      </c>
      <c r="G19">
        <v>1</v>
      </c>
      <c r="H19">
        <v>1</v>
      </c>
      <c r="I19">
        <v>0</v>
      </c>
      <c r="J19">
        <v>0</v>
      </c>
      <c r="K19">
        <v>0</v>
      </c>
      <c r="L19">
        <f t="shared" si="1"/>
        <v>0</v>
      </c>
      <c r="M19" t="str">
        <f t="shared" si="2"/>
        <v>Incluido</v>
      </c>
    </row>
    <row r="20" spans="2:14" x14ac:dyDescent="0.25">
      <c r="B20" t="s">
        <v>42</v>
      </c>
      <c r="C20" t="s">
        <v>21</v>
      </c>
      <c r="D20" t="s">
        <v>16</v>
      </c>
      <c r="E20" t="s">
        <v>24</v>
      </c>
      <c r="F20" t="s">
        <v>43</v>
      </c>
      <c r="G20">
        <v>1</v>
      </c>
      <c r="H20">
        <v>0</v>
      </c>
      <c r="I20">
        <v>1</v>
      </c>
      <c r="J20">
        <v>0</v>
      </c>
      <c r="K20">
        <v>0</v>
      </c>
      <c r="L20">
        <f t="shared" si="1"/>
        <v>0</v>
      </c>
      <c r="M20" t="str">
        <f t="shared" si="2"/>
        <v>Incluido</v>
      </c>
    </row>
    <row r="21" spans="2:14" x14ac:dyDescent="0.25">
      <c r="B21" t="s">
        <v>42</v>
      </c>
      <c r="C21" t="s">
        <v>44</v>
      </c>
      <c r="D21" t="s">
        <v>45</v>
      </c>
      <c r="E21" t="s">
        <v>24</v>
      </c>
      <c r="F21" t="s">
        <v>43</v>
      </c>
      <c r="G21">
        <v>1</v>
      </c>
      <c r="H21">
        <v>1</v>
      </c>
      <c r="I21">
        <v>0</v>
      </c>
      <c r="J21">
        <v>200</v>
      </c>
      <c r="K21">
        <v>200</v>
      </c>
      <c r="L21">
        <f t="shared" si="1"/>
        <v>0</v>
      </c>
      <c r="M21" t="str">
        <f t="shared" si="2"/>
        <v>Pagado</v>
      </c>
    </row>
    <row r="22" spans="2:14" x14ac:dyDescent="0.25">
      <c r="B22" t="s">
        <v>46</v>
      </c>
      <c r="C22" t="s">
        <v>47</v>
      </c>
      <c r="D22" t="s">
        <v>26</v>
      </c>
      <c r="E22" t="s">
        <v>17</v>
      </c>
      <c r="F22" t="s">
        <v>48</v>
      </c>
      <c r="G22">
        <v>7</v>
      </c>
      <c r="H22">
        <v>1</v>
      </c>
      <c r="I22">
        <v>6</v>
      </c>
      <c r="J22">
        <v>140</v>
      </c>
      <c r="K22">
        <v>70</v>
      </c>
      <c r="L22">
        <f t="shared" si="1"/>
        <v>70</v>
      </c>
      <c r="M22" t="str">
        <f t="shared" si="2"/>
        <v>Por pagar</v>
      </c>
      <c r="N22" t="s">
        <v>49</v>
      </c>
    </row>
    <row r="23" spans="2:14" x14ac:dyDescent="0.25">
      <c r="B23" t="s">
        <v>46</v>
      </c>
      <c r="C23" t="s">
        <v>30</v>
      </c>
      <c r="D23" t="s">
        <v>16</v>
      </c>
      <c r="E23" t="s">
        <v>24</v>
      </c>
      <c r="F23" t="s">
        <v>50</v>
      </c>
      <c r="G23">
        <v>3</v>
      </c>
      <c r="H23">
        <v>0</v>
      </c>
      <c r="I23">
        <v>3</v>
      </c>
      <c r="J23">
        <v>0</v>
      </c>
      <c r="K23">
        <v>0</v>
      </c>
      <c r="L23">
        <f t="shared" si="1"/>
        <v>0</v>
      </c>
      <c r="M23" t="str">
        <f t="shared" si="2"/>
        <v>Incluido</v>
      </c>
      <c r="N23" t="s">
        <v>51</v>
      </c>
    </row>
    <row r="24" spans="2:14" x14ac:dyDescent="0.25">
      <c r="B24" t="s">
        <v>46</v>
      </c>
      <c r="C24" t="s">
        <v>32</v>
      </c>
      <c r="D24" t="s">
        <v>16</v>
      </c>
      <c r="E24" t="s">
        <v>24</v>
      </c>
      <c r="F24" t="s">
        <v>50</v>
      </c>
      <c r="G24">
        <v>5</v>
      </c>
      <c r="H24">
        <v>0</v>
      </c>
      <c r="I24">
        <v>5</v>
      </c>
      <c r="J24">
        <v>0</v>
      </c>
      <c r="K24">
        <v>0</v>
      </c>
      <c r="L24">
        <f t="shared" si="1"/>
        <v>0</v>
      </c>
      <c r="M24" t="str">
        <f t="shared" si="2"/>
        <v>Incluido</v>
      </c>
      <c r="N24" t="s">
        <v>52</v>
      </c>
    </row>
    <row r="25" spans="2:14" x14ac:dyDescent="0.25">
      <c r="B25" t="s">
        <v>46</v>
      </c>
      <c r="C25" t="s">
        <v>53</v>
      </c>
      <c r="D25" t="s">
        <v>16</v>
      </c>
      <c r="E25" t="s">
        <v>24</v>
      </c>
      <c r="F25" t="s">
        <v>50</v>
      </c>
      <c r="G25">
        <v>5</v>
      </c>
      <c r="H25">
        <v>0</v>
      </c>
      <c r="I25">
        <v>5</v>
      </c>
      <c r="J25">
        <v>0</v>
      </c>
      <c r="K25">
        <v>0</v>
      </c>
      <c r="L25">
        <f t="shared" si="1"/>
        <v>0</v>
      </c>
      <c r="M25" t="str">
        <f t="shared" si="2"/>
        <v>Incluido</v>
      </c>
    </row>
    <row r="26" spans="2:14" x14ac:dyDescent="0.25">
      <c r="B26" t="s">
        <v>46</v>
      </c>
      <c r="C26" t="s">
        <v>21</v>
      </c>
      <c r="D26" t="s">
        <v>16</v>
      </c>
      <c r="E26" t="s">
        <v>24</v>
      </c>
      <c r="F26" t="s">
        <v>50</v>
      </c>
      <c r="G26">
        <v>1</v>
      </c>
      <c r="H26">
        <v>0</v>
      </c>
      <c r="I26">
        <v>1</v>
      </c>
      <c r="J26">
        <v>0</v>
      </c>
      <c r="K26">
        <v>0</v>
      </c>
      <c r="L26">
        <f t="shared" si="1"/>
        <v>0</v>
      </c>
      <c r="M26" t="str">
        <f t="shared" si="2"/>
        <v>Incluido</v>
      </c>
    </row>
    <row r="27" spans="2:14" x14ac:dyDescent="0.25">
      <c r="B27" t="s">
        <v>46</v>
      </c>
      <c r="C27" t="s">
        <v>54</v>
      </c>
      <c r="D27" t="s">
        <v>16</v>
      </c>
      <c r="E27" t="s">
        <v>24</v>
      </c>
      <c r="F27" t="s">
        <v>50</v>
      </c>
      <c r="G27">
        <v>1</v>
      </c>
      <c r="H27">
        <v>0</v>
      </c>
      <c r="I27">
        <v>1</v>
      </c>
      <c r="J27">
        <v>295</v>
      </c>
      <c r="K27">
        <v>0</v>
      </c>
      <c r="L27">
        <f t="shared" si="1"/>
        <v>295</v>
      </c>
      <c r="M27" t="str">
        <f t="shared" si="2"/>
        <v>Incluido</v>
      </c>
    </row>
    <row r="28" spans="2:14" x14ac:dyDescent="0.25">
      <c r="B28" t="s">
        <v>46</v>
      </c>
      <c r="C28" t="s">
        <v>21</v>
      </c>
      <c r="D28" t="s">
        <v>26</v>
      </c>
      <c r="E28" t="s">
        <v>24</v>
      </c>
      <c r="F28" t="s">
        <v>50</v>
      </c>
      <c r="G28">
        <v>1</v>
      </c>
      <c r="H28">
        <v>0</v>
      </c>
      <c r="I28">
        <v>1</v>
      </c>
      <c r="J28">
        <v>30</v>
      </c>
      <c r="K28">
        <v>0</v>
      </c>
      <c r="L28">
        <f t="shared" si="1"/>
        <v>30</v>
      </c>
      <c r="M28" t="str">
        <f t="shared" si="2"/>
        <v>Por pagar</v>
      </c>
      <c r="N28" t="s">
        <v>55</v>
      </c>
    </row>
  </sheetData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Duque</cp:lastModifiedBy>
  <dcterms:created xsi:type="dcterms:W3CDTF">2026-01-13T23:55:00Z</dcterms:created>
  <dcterms:modified xsi:type="dcterms:W3CDTF">2026-01-14T00:35:24Z</dcterms:modified>
</cp:coreProperties>
</file>